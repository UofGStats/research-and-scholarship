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7c97d54b534a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unding opportunities" sheetId="1" r:id="R873e560c95b14efe"/>
    <x:sheet xmlns:r="http://schemas.openxmlformats.org/officeDocument/2006/relationships" name="Guide &amp; sources" sheetId="2" r:id="R07ffef5285a14554"/>
  </x:sheets>
</x:workbook>
</file>

<file path=xl/sharedStrings.xml><?xml version="1.0" encoding="utf-8"?>
<x:sst xmlns:x="http://schemas.openxmlformats.org/spreadsheetml/2006/main">
  <x:si>
    <x:t xml:space="preserve">Status</x:t>
  </x:si>
  <x:si>
    <x:t xml:space="preserve">Deadline</x:t>
  </x:si>
  <x:si>
    <x:t xml:space="preserve">Funder</x:t>
  </x:si>
  <x:si>
    <x:t xml:space="preserve">Opportunity</x:t>
  </x:si>
  <x:si>
    <x:t xml:space="preserve">Type</x:t>
  </x:si>
  <x:si>
    <x:t xml:space="preserve">Funding / duration</x:t>
  </x:si>
  <x:si>
    <x:t xml:space="preserve">Who can apply / key restriction</x:t>
  </x:si>
  <x:si>
    <x:t xml:space="preserve">Why relevant to Statistics</x:t>
  </x:si>
  <x:si>
    <x:t xml:space="preserve">Theme tags</x:t>
  </x:si>
  <x:si>
    <x:t xml:space="preserve">Internal action / note</x:t>
  </x:si>
  <x:si>
    <x:t xml:space="preserve">Source</x:t>
  </x:si>
  <x:si>
    <x:t xml:space="preserve">Source list</x:t>
  </x:si>
  <x:si>
    <x:t xml:space="preserve">LMS</x:t>
  </x:si>
  <x:si>
    <x:t xml:space="preserve">Scheme 3: Joint Research Groups</x:t>
  </x:si>
  <x:si>
    <x:t xml:space="preserve">Network / collaboration</x:t>
  </x:si>
  <x:si>
    <x:t xml:space="preserve">Up to £2,400 per academic year</x:t>
  </x:si>
  <x:si>
    <x:t xml:space="preserve">UK-based mathematicians; annual scheme</x:t>
  </x:si>
  <x:si>
    <x:t xml:space="preserve">Supports sustained mathematical research groups and collaborations.</x:t>
  </x:si>
  <x:si>
    <x:t xml:space="preserve">Mathematics; collaboration</x:t>
  </x:si>
  <x:si>
    <x:t xml:space="preserve">Very relevant recurring LMS scheme.</x:t>
  </x:si>
  <x:si>
    <x:t xml:space="preserve">https://www.lms.ac.uk/grants/calendar</x:t>
  </x:si>
  <x:si>
    <x:t xml:space="preserve">ARIA</x:t>
  </x:si>
  <x:si>
    <x:t xml:space="preserve">Hypersensory Intelligence: Olfactory Perception – TA1 Open Olfactory Resource</x:t>
  </x:si>
  <x:si>
    <x:t xml:space="preserve">Research programme</x:t>
  </x:si>
  <x:si>
    <x:t xml:space="preserve">Programme backed by £65m; TA1 call</x:t>
  </x:si>
  <x:si>
    <x:t xml:space="preserve">See ARIA call; interdisciplinary teams</x:t>
  </x:si>
  <x:si>
    <x:t xml:space="preserve">Potential role for statistics/ML in large-scale chemical-signal data, representation learning and uncertainty.</x:t>
  </x:si>
  <x:si>
    <x:t xml:space="preserve">AI/ML; data; health; environment</x:t>
  </x:si>
  <x:si>
    <x:t xml:space="preserve">Targeted rather than general Stats opportunity.</x:t>
  </x:si>
  <x:si>
    <x:t xml:space="preserve">https://aria.org.uk/opportunity-spaces/nature-inspired-computation/olfactory-perception</x:t>
  </x:si>
  <x:si>
    <x:t xml:space="preserve">LMS / HIMR / UKRI</x:t>
  </x:si>
  <x:si>
    <x:t xml:space="preserve">LMS Early Career Fellowships</x:t>
  </x:si>
  <x:si>
    <x:t xml:space="preserve">Fellowship</x:t>
  </x:si>
  <x:si>
    <x:t xml:space="preserve">3–6 months; £1,820/month + £800 allowance; up to £11,720</x:t>
  </x:si>
  <x:si>
    <x:t xml:space="preserve">Recent/near-completion PhD mathematicians; UK resident at deadline</x:t>
  </x:si>
  <x:si>
    <x:t xml:space="preserve">Excellent bridge funding for graduating Stats PhDs moving to postdoctoral research.</x:t>
  </x:si>
  <x:si>
    <x:t xml:space="preserve">ECR; mathematics; fellowship</x:t>
  </x:si>
  <x:si>
    <x:t xml:space="preserve">Flag to PGRs and supervisors.</x:t>
  </x:si>
  <x:si>
    <x:t xml:space="preserve">https://www.lms.ac.uk/grants/lms-early-career-fellowships</x:t>
  </x:si>
  <x:si>
    <x:t xml:space="preserve">Forecasting Tipping Points Phase 2</x:t>
  </x:si>
  <x:si>
    <x:t xml:space="preserve">ARIA programme backed by £114m; concept paper then invited full proposal</x:t>
  </x:si>
  <x:si>
    <x:t xml:space="preserve">Teams contributing to ocean observing, interannual-to-decadal forecasting or decision-focused climate evidence translation</x:t>
  </x:si>
  <x:si>
    <x:t xml:space="preserve">Exceptionally strong fit for environmental statistics, extremes, forecasting, uncertainty quantification, data fusion and AI.</x:t>
  </x:si>
  <x:si>
    <x:t xml:space="preserve">Environment; extremes; forecasting; AI</x:t>
  </x:si>
  <x:si>
    <x:t xml:space="preserve">Concept paper 9 Oct 14:00 BST; full proposals 2 Dec 14:00 GMT. Very high relevance to group.</x:t>
  </x:si>
  <x:si>
    <x:t xml:space="preserve">https://aria.org.uk/opportunity-spaces/resilient-climate-and-ecosystems/forecasting-tipping-points/funding</x:t>
  </x:si>
  <x:si>
    <x:t xml:space="preserve">Postgraduate Research Conference Grants (Scheme 8)</x:t>
  </x:si>
  <x:si>
    <x:t xml:space="preserve">Conference / ECR</x:t>
  </x:si>
  <x:si>
    <x:t xml:space="preserve">Up to £2,500</x:t>
  </x:si>
  <x:si>
    <x:t xml:space="preserve">For postgraduate-led research conferences; see LMS eligibility</x:t>
  </x:si>
  <x:si>
    <x:t xml:space="preserve">Useful for Statistics PGRs organising specialist meetings.</x:t>
  </x:si>
  <x:si>
    <x:t xml:space="preserve">PGR; mathematics; events</x:t>
  </x:si>
  <x:si>
    <x:t xml:space="preserve">Also recurring deadline 22 Feb 2027.</x:t>
  </x:si>
  <x:si>
    <x:t xml:space="preserve">Celebrating New Appointments (Scheme 9)</x:t>
  </x:si>
  <x:si>
    <x:t xml:space="preserve">ECR / event</x:t>
  </x:si>
  <x:si>
    <x:t xml:space="preserve">Up to £450–£500</x:t>
  </x:si>
  <x:si>
    <x:t xml:space="preserve">Newly appointed mathematicians; see LMS scheme</x:t>
  </x:si>
  <x:si>
    <x:t xml:space="preserve">Small, easy-to-use support for new Statistics appointments and research activity.</x:t>
  </x:si>
  <x:si>
    <x:t xml:space="preserve">ECR; mathematics</x:t>
  </x:si>
  <x:si>
    <x:t xml:space="preserve">Early Career Researcher Travel Grants</x:t>
  </x:si>
  <x:si>
    <x:t xml:space="preserve">Travel / collaboration</x:t>
  </x:si>
  <x:si>
    <x:t xml:space="preserve">Up to £700</x:t>
  </x:si>
  <x:si>
    <x:t xml:space="preserve">UK-based mathematics ECRs: PhD students or within 3 years of PhD (career breaks excluded)</x:t>
  </x:si>
  <x:si>
    <x:t xml:space="preserve">Conference travel and research visits for Stats PGRs/ECRs.</x:t>
  </x:si>
  <x:si>
    <x:t xml:space="preserve">ECR; travel; mathematics</x:t>
  </x:si>
  <x:si>
    <x:t xml:space="preserve">Priority is often given to research visits combined with conference attendance; next deadline 22 Feb 2027.</x:t>
  </x:si>
  <x:si>
    <x:t xml:space="preserve">https://www.lms.ac.uk/grants/lms-travel-grants-early-career-researchers</x:t>
  </x:si>
  <x:si>
    <x:t xml:space="preserve">RSE</x:t>
  </x:si>
  <x:si>
    <x:t xml:space="preserve">Personal Research Fellowships</x:t>
  </x:si>
  <x:si>
    <x:t xml:space="preserve">Fellowship / research leave</x:t>
  </x:si>
  <x:si>
    <x:t xml:space="preserve">Temporary replacement salary + research costs; up to 12 months</x:t>
  </x:si>
  <x:si>
    <x:t xml:space="preserve">Eligible academics in Scottish institutions; research may be in any discipline</x:t>
  </x:si>
  <x:si>
    <x:t xml:space="preserve">Directly relevant to Statistics staff seeking protected research time.</x:t>
  </x:si>
  <x:si>
    <x:t xml:space="preserve">All disciplines; fellowship</x:t>
  </x:si>
  <x:si>
    <x:t xml:space="preserve">Autumn 2026 call. Includes ESS-RSE themed route on Scotland's Biodiversity Pathways.</x:t>
  </x:si>
  <x:si>
    <x:t xml:space="preserve">https://rse.org.uk/award/rse-personal-research-fellowships/</x:t>
  </x:si>
  <x:si>
    <x:t xml:space="preserve">Research Collaboration Grants</x:t>
  </x:si>
  <x:si>
    <x:t xml:space="preserve">Collaboration / network</x:t>
  </x:si>
  <x:si>
    <x:t xml:space="preserve">Up to 24 months; see current terms for award value</x:t>
  </x:si>
  <x:si>
    <x:t xml:space="preserve">PI in eligible Scottish HEI/FEI/RI/cultural institution; all disciplines/career stages</x:t>
  </x:si>
  <x:si>
    <x:t xml:space="preserve">Good fit for interdisciplinary statistical collaborations and building new research networks.</x:t>
  </x:si>
  <x:si>
    <x:t xml:space="preserve">All disciplines; collaboration</x:t>
  </x:si>
  <x:si>
    <x:t xml:space="preserve">Only one RSE proposal per applicant per funding round; choose best-suited scheme.</x:t>
  </x:si>
  <x:si>
    <x:t xml:space="preserve">https://rse.org.uk/award/rse-research-collaboration-grants/</x:t>
  </x:si>
  <x:si>
    <x:t xml:space="preserve">Small Research Grants</x:t>
  </x:si>
  <x:si>
    <x:t xml:space="preserve">Research grant</x:t>
  </x:si>
  <x:si>
    <x:t xml:space="preserve">Up to 12 months; see current terms for award value</x:t>
  </x:si>
  <x:si>
    <x:t xml:space="preserve">Eligible Scotland-based researchers; any discipline</x:t>
  </x:si>
  <x:si>
    <x:t xml:space="preserve">Useful seed funding for methodological/statistical pilot work and preliminary results.</x:t>
  </x:si>
  <x:si>
    <x:t xml:space="preserve">All disciplines; seed</x:t>
  </x:si>
  <x:si>
    <x:t xml:space="preserve">Only one RSE proposal per applicant per funding round.</x:t>
  </x:si>
  <x:si>
    <x:t xml:space="preserve">https://rse.org.uk/award/rse-small-grants/</x:t>
  </x:si>
  <x:si>
    <x:t xml:space="preserve">International Joint Projects</x:t>
  </x:si>
  <x:si>
    <x:t xml:space="preserve">International collaboration</x:t>
  </x:si>
  <x:si>
    <x:t xml:space="preserve">Up to 2 years; scheme-dependent funding</x:t>
  </x:si>
  <x:si>
    <x:t xml:space="preserve">Scotland-based researcher + eligible overseas partner under current partner-academy streams</x:t>
  </x:si>
  <x:si>
    <x:t xml:space="preserve">Strong route for building international statistical collaborations.</x:t>
  </x:si>
  <x:si>
    <x:t xml:space="preserve">International; collaboration</x:t>
  </x:si>
  <x:si>
    <x:t xml:space="preserve">Requires corresponding application to partner academy where applicable.</x:t>
  </x:si>
  <x:si>
    <x:t xml:space="preserve">https://rse.org.uk/award/rse-joint-projects/</x:t>
  </x:si>
  <x:si>
    <x:t xml:space="preserve">International Bilateral Visits</x:t>
  </x:si>
  <x:si>
    <x:t xml:space="preserve">International visit</x:t>
  </x:si>
  <x:si>
    <x:t xml:space="preserve">Short-term visits; see country-specific terms</x:t>
  </x:si>
  <x:si>
    <x:t xml:space="preserve">Scotland-based researchers collaborating with eligible academy countries</x:t>
  </x:si>
  <x:si>
    <x:t xml:space="preserve">Useful for short collaborative visits and developing international grant pipelines.</x:t>
  </x:si>
  <x:si>
    <x:t xml:space="preserve">International; travel</x:t>
  </x:si>
  <x:si>
    <x:t xml:space="preserve">Autumn 2026 partners include Hungary, Taiwan, Poland, Slovakia and Slovenia.</x:t>
  </x:si>
  <x:si>
    <x:t xml:space="preserve">https://rse.org.uk/award/international-bilateral-visits/</x:t>
  </x:si>
  <x:si>
    <x:t xml:space="preserve">SAPHIRE Fund</x:t>
  </x:si>
  <x:si>
    <x:t xml:space="preserve">£5,000–£19,999 band; see current terms</x:t>
  </x:si>
  <x:si>
    <x:t xml:space="preserve">Scottish researchers with partners in eligible Asia-Pacific countries; theme: Climate Change, Biodiversity and Renewable Energy</x:t>
  </x:si>
  <x:si>
    <x:t xml:space="preserve">Strong fit for environmental, ecological, climate and renewable-energy statistics.</x:t>
  </x:si>
  <x:si>
    <x:t xml:space="preserve">Environment; international; energy</x:t>
  </x:si>
  <x:si>
    <x:t xml:space="preserve">Requires relevant existing peer-reviewed project/funding or track record as specified.</x:t>
  </x:si>
  <x:si>
    <x:t xml:space="preserve">https://rse.org.uk/award/scotland-asia-partnerships-higher-education-research-fund-saphire/</x:t>
  </x:si>
  <x:si>
    <x:t xml:space="preserve">Innovate UK / OLS</x:t>
  </x:si>
  <x:si>
    <x:t xml:space="preserve">Advancing innovation in accelerated cancer diagnosis</x:t>
  </x:si>
  <x:si>
    <x:t xml:space="preserve">Collaborative innovation</x:t>
  </x:si>
  <x:si>
    <x:t xml:space="preserve">Total fund £25.4m</x:t>
  </x:si>
  <x:si>
    <x:t xml:space="preserve">Collaboration only; lead may be academic/NHS/business; consortium must include a UK SME claiming funding</x:t>
  </x:si>
  <x:si>
    <x:t xml:space="preserve">Relevant where Stats contributes AI, diagnostic modelling, validation, prediction or trial/evaluation methodology.</x:t>
  </x:si>
  <x:si>
    <x:t xml:space="preserve">Health; AI/ML; diagnostics</x:t>
  </x:si>
  <x:si>
    <x:t xml:space="preserve">Targeted collaboration opportunity, not a general statistics call.</x:t>
  </x:si>
  <x:si>
    <x:t xml:space="preserve">https://www.ukri.org/opportunity/advancing-innovation-in-accelerated-cancer-diagnosis/</x:t>
  </x:si>
  <x:si>
    <x:t xml:space="preserve">Specific call</x:t>
  </x:si>
  <x:si>
    <x:t xml:space="preserve">RSE / Fulbright</x:t>
  </x:si>
  <x:si>
    <x:t xml:space="preserve">RSE Fulbright Scholar Award</x:t>
  </x:si>
  <x:si>
    <x:t xml:space="preserve">International fellowship / visit</x:t>
  </x:si>
  <x:si>
    <x:t xml:space="preserve">Up to 3 months in US</x:t>
  </x:si>
  <x:si>
    <x:t xml:space="preserve">UK resident with clear continuing Scotland connection; PhD/equivalent</x:t>
  </x:si>
  <x:si>
    <x:t xml:space="preserve">Potentially valuable for established Statistics academics developing US collaborations.</x:t>
  </x:si>
  <x:si>
    <x:t xml:space="preserve">International; fellowship</x:t>
  </x:si>
  <x:si>
    <x:t xml:space="preserve">2026 themes include climate/environment, economic prosperity, social cohesion/inclusion.</x:t>
  </x:si>
  <x:si>
    <x:t xml:space="preserve">https://rse.org.uk/award/fulbright-rse-scholar-award/</x:t>
  </x:si>
  <x:si>
    <x:t xml:space="preserve">UKRI</x:t>
  </x:si>
  <x:si>
    <x:t xml:space="preserve">Transformative sustainable AI technologies</x:t>
  </x:si>
  <x:si>
    <x:t xml:space="preserve">FEC up to £602,500; UKRI funds 80%; up to 24 months</x:t>
  </x:si>
  <x:si>
    <x:t xml:space="preserve">UKRI-eligible UK research organisation</x:t>
  </x:si>
  <x:si>
    <x:t xml:space="preserve">Strong for Stats/ML work on computationally efficient, sustainable or otherwise lower-impact AI systems.</x:t>
  </x:si>
  <x:si>
    <x:t xml:space="preserve">AI/ML; sustainability</x:t>
  </x:si>
  <x:si>
    <x:t xml:space="preserve">NOTE: UofG note of interest required — see email sent 26/08.</x:t>
  </x:si>
  <x:si>
    <x:t xml:space="preserve">https://www.ukri.org/opportunity/transformative-sustainable-ai-technologies/</x:t>
  </x:si>
  <x:si>
    <x:t xml:space="preserve">NERC</x:t>
  </x:si>
  <x:si>
    <x:t xml:space="preserve">Exploring the frontiers of environmental research 2026</x:t>
  </x:si>
  <x:si>
    <x:t xml:space="preserve">£100,000–£200,000; total fund £8m</x:t>
  </x:si>
  <x:si>
    <x:t xml:space="preserve">UK organisation eligible for NERC funding</x:t>
  </x:si>
  <x:si>
    <x:t xml:space="preserve">Very strong group fit: novel, curiosity-driven environmental research; statistical methods can underpin transformative environmental science.</x:t>
  </x:si>
  <x:si>
    <x:t xml:space="preserve">Environment; methods; interdisciplinary</x:t>
  </x:si>
  <x:si>
    <x:t xml:space="preserve">High relevance to environmental/ecological Statistics. Check UofG internal quality-management process.</x:t>
  </x:si>
  <x:si>
    <x:t xml:space="preserve">https://www.ukri.org/opportunity/exploring-the-frontiers-of-environmental-research-2026/</x:t>
  </x:si>
  <x:si>
    <x:t xml:space="preserve">Emmy Noether Fellowships</x:t>
  </x:si>
  <x:si>
    <x:t xml:space="preserve">Fellowship / research support</x:t>
  </x:si>
  <x:si>
    <x:t xml:space="preserve">£2,000–£10,000</x:t>
  </x:si>
  <x:si>
    <x:t xml:space="preserve">PhD in mathematics/closely related subject; UK university academic; caring-related eligibility</x:t>
  </x:si>
  <x:si>
    <x:t xml:space="preserve">Supports maintaining/re-establishing mathematical sciences research around significant caring responsibilities.</x:t>
  </x:si>
  <x:si>
    <x:t xml:space="preserve">Mathematics; fellowship; EDI</x:t>
  </x:si>
  <x:si>
    <x:t xml:space="preserve">One-year LMS Emmy Noether Fellow title.</x:t>
  </x:si>
  <x:si>
    <x:t xml:space="preserve">https://www.lms.ac.uk/news/lms-emmy-noether-fellowships-2026</x:t>
  </x:si>
  <x:si>
    <x:t xml:space="preserve">Healthy Planet, Healthy People: Catalyst Awards</x:t>
  </x:si>
  <x:si>
    <x:t xml:space="preserve">Community research / seed</x:t>
  </x:si>
  <x:si>
    <x:t xml:space="preserve">See current RSE call</x:t>
  </x:si>
  <x:si>
    <x:t xml:space="preserve">Interdisciplinary/community-led projects meeting scheme criteria</x:t>
  </x:si>
  <x:si>
    <x:t xml:space="preserve">Potential fit for environmental/health statistics where quantitative evaluation is embedded in community-led work.</x:t>
  </x:si>
  <x:si>
    <x:t xml:space="preserve">Environment; health; community</x:t>
  </x:si>
  <x:si>
    <x:t xml:space="preserve">More targeted than core RSE schemes.</x:t>
  </x:si>
  <x:si>
    <x:t xml:space="preserve">https://rse.org.uk/autumn-2026-rse-research-awards-programme-opens-today/</x:t>
  </x:si>
  <x:si>
    <x:t xml:space="preserve">Healthy Planet, Healthy People: Change Awards</x:t>
  </x:si>
  <x:si>
    <x:t xml:space="preserve">Follow-on / scale-up</x:t>
  </x:si>
  <x:si>
    <x:t xml:space="preserve">Up to £75,000</x:t>
  </x:si>
  <x:si>
    <x:t xml:space="preserve">For previous Catalyst Award recipients; see current call</x:t>
  </x:si>
  <x:si>
    <x:t xml:space="preserve">Relevant only to eligible prior Catalyst projects with statistical/environmental-health components.</x:t>
  </x:si>
  <x:si>
    <x:t xml:space="preserve">Environment; health; follow-on</x:t>
  </x:si>
  <x:si>
    <x:t xml:space="preserve">Restricted eligibility.</x:t>
  </x:si>
  <x:si>
    <x:t xml:space="preserve">Conference and Research Workshop Grants (Scheme 1)</x:t>
  </x:si>
  <x:si>
    <x:t xml:space="preserve">Conference / workshop</x:t>
  </x:si>
  <x:si>
    <x:t xml:space="preserve">Up to £7,000</x:t>
  </x:si>
  <x:si>
    <x:t xml:space="preserve">UK-based mathematician; PhD students not eligible to apply</x:t>
  </x:si>
  <x:si>
    <x:t xml:space="preserve">Highly relevant for Statistics workshops, specialist meetings and research events.</x:t>
  </x:si>
  <x:si>
    <x:t xml:space="preserve">Mathematics; events</x:t>
  </x:si>
  <x:si>
    <x:t xml:space="preserve">Recurring deadlines: 22 Jan and 15 May 2027.</x:t>
  </x:si>
  <x:si>
    <x:t xml:space="preserve">https://www.lms.ac.uk/grants/conference-grants-scheme-1</x:t>
  </x:si>
  <x:si>
    <x:t xml:space="preserve">Visiting Speakers to the UK (Scheme 2)</x:t>
  </x:si>
  <x:si>
    <x:t xml:space="preserve">Visitor / collaboration</x:t>
  </x:si>
  <x:si>
    <x:t xml:space="preserve">Up to £2,000 (+ possible caring costs)</x:t>
  </x:si>
  <x:si>
    <x:t xml:space="preserve">UK-based mathematician; visitor gives lectures at at least 3 institutions</x:t>
  </x:si>
  <x:si>
    <x:t xml:space="preserve">Useful for bringing international statisticians to Glasgow as part of a UK visit.</x:t>
  </x:si>
  <x:si>
    <x:t xml:space="preserve">Mathematics; visitor</x:t>
  </x:si>
  <x:si>
    <x:t xml:space="preserve">https://www.lms.ac.uk/grants/visits-uk-scheme-2</x:t>
  </x:si>
  <x:si>
    <x:t xml:space="preserve">Research Reboot / Research in Pairs (Scheme 4)</x:t>
  </x:si>
  <x:si>
    <x:t xml:space="preserve">Research / collaboration</x:t>
  </x:si>
  <x:si>
    <x:t xml:space="preserve">Up to £1,600</x:t>
  </x:si>
  <x:si>
    <x:t xml:space="preserve">UK-based mathematicians; Research in Pairs excludes PhD applicants</x:t>
  </x:si>
  <x:si>
    <x:t xml:space="preserve">Very useful small scheme for focused collaborative statistical research visits.</x:t>
  </x:si>
  <x:si>
    <x:t xml:space="preserve">https://www.lms.ac.uk/grants/research-pairs-scheme-4</x:t>
  </x:si>
  <x:si>
    <x:t xml:space="preserve">Collaborations with Developing Countries (Scheme 5)</x:t>
  </x:si>
  <x:si>
    <x:t xml:space="preserve">Up to £4,000</x:t>
  </x:si>
  <x:si>
    <x:t xml:space="preserve">UK-based mathematicians collaborating with eligible countries</x:t>
  </x:si>
  <x:si>
    <x:t xml:space="preserve">Useful for international mathematical/statistical collaboration and capacity building.</x:t>
  </x:si>
  <x:si>
    <x:t xml:space="preserve">Mathematics; international</x:t>
  </x:si>
  <x:si>
    <x:t xml:space="preserve">Atiyah UK-Lebanon Fellowships</x:t>
  </x:si>
  <x:si>
    <x:t xml:space="preserve">International fellowship</x:t>
  </x:si>
  <x:si>
    <x:t xml:space="preserve">Up to £8,600</x:t>
  </x:si>
  <x:si>
    <x:t xml:space="preserve">See LMS country/scheme eligibility</x:t>
  </x:si>
  <x:si>
    <x:t xml:space="preserve">Potentially relevant to mathematical sciences collaboration with Lebanon.</x:t>
  </x:si>
  <x:si>
    <x:t xml:space="preserve">Targeted geography.</x:t>
  </x:si>
  <x:si>
    <x:t xml:space="preserve">Undergraduate Research Bursaries</x:t>
  </x:si>
  <x:si>
    <x:t xml:space="preserve">Student research</x:t>
  </x:si>
  <x:si>
    <x:t xml:space="preserve">Up to £2,000</x:t>
  </x:si>
  <x:si>
    <x:t xml:space="preserve">See LMS scheme; supports undergraduate mathematical research</x:t>
  </x:si>
  <x:si>
    <x:t xml:space="preserve">Useful for summer research projects with Statistics students.</x:t>
  </x:si>
  <x:si>
    <x:t xml:space="preserve">UG; mathematics</x:t>
  </x:si>
  <x:si>
    <x:t xml:space="preserve">Flag to potential supervisors well before deadline.</x:t>
  </x:si>
  <x:si>
    <x:t xml:space="preserve">No closing date</x:t>
  </x:si>
  <x:si>
    <x:t xml:space="preserve">BBSRC / FAPESP</x:t>
  </x:si>
  <x:si>
    <x:t xml:space="preserve">BBSRC Brazil pump-priming award (FAPPA)</x:t>
  </x:si>
  <x:si>
    <x:t xml:space="preserve">International seed / collaboration</x:t>
  </x:si>
  <x:si>
    <x:t xml:space="preserve">Up to £35,000 at 100% FEC over 2 years</x:t>
  </x:si>
  <x:si>
    <x:t xml:space="preserve">UK lead must currently hold relevant BBSRC research funding; São Paulo partner must hold FAPESP grant</x:t>
  </x:si>
  <x:si>
    <x:t xml:space="preserve">Relevant for statistical methodology embedded in bioscience collaborations with São Paulo, but eligibility is restrictive.</x:t>
  </x:si>
  <x:si>
    <x:t xml:space="preserve">Bioscience; international; Brazil</x:t>
  </x:si>
  <x:si>
    <x:t xml:space="preserve">Apply at least 12 weeks before project start.</x:t>
  </x:si>
  <x:si>
    <x:t xml:space="preserve">https://www.ukri.org/opportunity/bbsrc-brazil-pump-priming-award-fappa/</x:t>
  </x:si>
  <x:si>
    <x:t xml:space="preserve">EPSRC</x:t>
  </x:si>
  <x:si>
    <x:t xml:space="preserve">Mathematical Sciences Small Grants</x:t>
  </x:si>
  <x:si>
    <x:t xml:space="preserve">FEC up to £100,000; EPSRC 80%; usually up to 12 months</x:t>
  </x:si>
  <x:si>
    <x:t xml:space="preserve">Standard EPSRC eligibility; majority of research within Mathematical Sciences remit</x:t>
  </x:si>
  <x:si>
    <x:t xml:space="preserve">Core FFS opportunity: ideal for pilot methods, proof-of-principle, short follow-ons, new collaborations and discipline hopping.</x:t>
  </x:si>
  <x:si>
    <x:t xml:space="preserve">Mathematics; methods; seed</x:t>
  </x:si>
  <x:si>
    <x:t xml:space="preserve">Always open.</x:t>
  </x:si>
  <x:si>
    <x:t xml:space="preserve">https://www.ukri.org/opportunity/mathematical-sciences-small-grants/</x:t>
  </x:si>
  <x:si>
    <x:t xml:space="preserve">UKRI / core</x:t>
  </x:si>
  <x:si>
    <x:t xml:space="preserve">EPSRC Standard Research Grant</x:t>
  </x:si>
  <x:si>
    <x:t xml:space="preserve">No stated limit on grant size or duration; EPSRC funds 80% FEC</x:t>
  </x:si>
  <x:si>
    <x:t xml:space="preserve">EPSRC-eligible applicants and organisations; research within EPSRC remit</x:t>
  </x:si>
  <x:si>
    <x:t xml:space="preserve">Core route for substantial statistical methodology and interdisciplinary mathematical sciences research.</x:t>
  </x:si>
  <x:si>
    <x:t xml:space="preserve">Mathematics; methods; interdisciplinary</x:t>
  </x:si>
  <x:si>
    <x:t xml:space="preserve">Always open; check current Funding Service guidance before applying.</x:t>
  </x:si>
  <x:si>
    <x:t xml:space="preserve">https://www.ukri.org/councils/epsrc/guidance-for-applicants/types-of-funding-we-offer/standard-research/</x:t>
  </x:si>
  <x:si>
    <x:t xml:space="preserve">EPSRC New Investigator Award: applicant-led mode</x:t>
  </x:si>
  <x:si>
    <x:t xml:space="preserve">ECR research grant</x:t>
  </x:si>
  <x:si>
    <x:t xml:space="preserve">Applicant-led; see current call for budget guidance</x:t>
  </x:si>
  <x:si>
    <x:t xml:space="preserve">First EPSRC application as project lead; transition to research independence</x:t>
  </x:si>
  <x:si>
    <x:t xml:space="preserve">Core opportunity for eligible early-career Statistics academics.</x:t>
  </x:si>
  <x:si>
    <x:t xml:space="preserve">https://www.ukri.org/opportunity/?keywords=new+investigator+grant</x:t>
  </x:si>
  <x:si>
    <x:t xml:space="preserve">Mathematical Sciences Early Independence Fellowship</x:t>
  </x:si>
  <x:si>
    <x:t xml:space="preserve">Maximum award £1.25m</x:t>
  </x:si>
  <x:si>
    <x:t xml:space="preserve">PhD plus evidence of career consolidation/productivity and plan for independent niche; Mathematical Sciences remit</x:t>
  </x:si>
  <x:si>
    <x:t xml:space="preserve">Core fellowship for mathematical/statistical researchers moving toward independence.</x:t>
  </x:si>
  <x:si>
    <x:t xml:space="preserve">Always open as of Sep 2026.</x:t>
  </x:si>
  <x:si>
    <x:t xml:space="preserve">https://www.ukri.org/opportunity/?keywords=postdoctoral+fellowships</x:t>
  </x:si>
  <x:si>
    <x:t xml:space="preserve">Sep/Oct 2026</x:t>
  </x:si>
  <x:si>
    <x:t xml:space="preserve">Enabling AI adoption across science and engineering</x:t>
  </x:si>
  <x:si>
    <x:t xml:space="preserve">Total fund £5m; maximum award around £250k (future-opportunities page previously noted figure subject to confirmation)</x:t>
  </x:si>
  <x:si>
    <x:t xml:space="preserve">UKRI-eligible research organisations; final eligibility at launch</x:t>
  </x:si>
  <x:si>
    <x:t xml:space="preserve">Strong cross-disciplinary route for statisticians applying AI to science and engineering research challenges.</x:t>
  </x:si>
  <x:si>
    <x:t xml:space="preserve">AI/ML; interdisciplinary</x:t>
  </x:si>
  <x:si>
    <x:t xml:space="preserve">Listed by UKRI for Sep 2026; check launched call for final details.</x:t>
  </x:si>
  <x:si>
    <x:t xml:space="preserve">https://www.ukri.org/apply-for-funding/future-research-and-innovation-funding-opportunities/</x:t>
  </x:si>
  <x:si>
    <x:t xml:space="preserve">UKRI future</x:t>
  </x:si>
  <x:si>
    <x:t xml:space="preserve">Oct 2026</x:t>
  </x:si>
  <x:si>
    <x:t xml:space="preserve">UKRI / NERC</x:t>
  </x:si>
  <x:si>
    <x:t xml:space="preserve">What Works Centre for a climate resilient UK</x:t>
  </x:si>
  <x:si>
    <x:t xml:space="preserve">Centre / evidence synthesis</x:t>
  </x:si>
  <x:si>
    <x:t xml:space="preserve">Total fund £26.4m</x:t>
  </x:si>
  <x:si>
    <x:t xml:space="preserve">Details at launch</x:t>
  </x:si>
  <x:si>
    <x:t xml:space="preserve">Potential major role for statistics in evidence synthesis, uncertainty, evaluation and climate adaptation decision support.</x:t>
  </x:si>
  <x:si>
    <x:t xml:space="preserve">Climate; evidence; policy</x:t>
  </x:si>
  <x:si>
    <x:t xml:space="preserve">Large consortium/centre opportunity.</x:t>
  </x:si>
  <x:si>
    <x:t xml:space="preserve">NERC Climate Adaptation ICURe Discover</x:t>
  </x:si>
  <x:si>
    <x:t xml:space="preserve">Innovation / market exploration</x:t>
  </x:si>
  <x:si>
    <x:t xml:space="preserve">Maximum award £2,500; 9-week part-time online programme</x:t>
  </x:si>
  <x:si>
    <x:t xml:space="preserve">Researchers/technicians with climate-adaptation ideas; final details at launch</x:t>
  </x:si>
  <x:si>
    <x:t xml:space="preserve">Relevant for translating statistical tools/models for climate adaptation into user-facing applications.</x:t>
  </x:si>
  <x:si>
    <x:t xml:space="preserve">Climate; innovation; impact</x:t>
  </x:si>
  <x:si>
    <x:t xml:space="preserve">Small but potentially useful impact/commercialisation route.</x:t>
  </x:si>
  <x:si>
    <x:t xml:space="preserve">Nov 2026</x:t>
  </x:si>
  <x:si>
    <x:t xml:space="preserve">Policy Fellowships</x:t>
  </x:si>
  <x:si>
    <x:t xml:space="preserve">Policy fellowship</x:t>
  </x:si>
  <x:si>
    <x:t xml:space="preserve">Award depends on partnership</x:t>
  </x:si>
  <x:si>
    <x:t xml:space="preserve">Early- and mid-career researchers; embedded in UK/devolved government; final details at launch</x:t>
  </x:si>
  <x:si>
    <x:t xml:space="preserve">Excellent route for statisticians interested in evidence, data and policy methodology.</x:t>
  </x:si>
  <x:si>
    <x:t xml:space="preserve">Policy; fellowship; data</x:t>
  </x:si>
  <x:si>
    <x:t xml:space="preserve">Plan-ahead opportunity.</x:t>
  </x:si>
  <x:si>
    <x:t xml:space="preserve">UKRI / EPSRC</x:t>
  </x:si>
  <x:si>
    <x:t xml:space="preserve">UKRI Research on Research Security Hub</x:t>
  </x:si>
  <x:si>
    <x:t xml:space="preserve">Research hub</x:t>
  </x:si>
  <x:si>
    <x:t xml:space="preserve">Funding TBC</x:t>
  </x:si>
  <x:si>
    <x:t xml:space="preserve">Final eligibility at launch</x:t>
  </x:si>
  <x:si>
    <x:t xml:space="preserve">Possible methodological role for statistics/data science in evidence generation and research-security analytics.</x:t>
  </x:si>
  <x:si>
    <x:t xml:space="preserve">Data; methods; security</x:t>
  </x:si>
  <x:si>
    <x:t xml:space="preserve">Consortium-scale and more peripheral to core Stats.</x:t>
  </x:si>
  <x:si>
    <x:t xml:space="preserve">Dec 2026</x:t>
  </x:si>
  <x:si>
    <x:t xml:space="preserve">Frontier AI research and development consortia</x:t>
  </x:si>
  <x:si>
    <x:t xml:space="preserve">R&amp;D consortium</x:t>
  </x:si>
  <x:si>
    <x:t xml:space="preserve">Total fund £50m; up to 10 awards</x:t>
  </x:si>
  <x:si>
    <x:t xml:space="preserve">Final details at launch; likely consortium/innovation focused</x:t>
  </x:si>
  <x:si>
    <x:t xml:space="preserve">Potentially relevant to ML/AI researchers, especially methodological work within larger consortia.</x:t>
  </x:si>
  <x:si>
    <x:t xml:space="preserve">AI/ML; consortium</x:t>
  </x:si>
  <x:si>
    <x:t xml:space="preserve">Monitor for academic eligibility and scope.</x:t>
  </x:si>
  <x:si>
    <x:t xml:space="preserve">Climate Adaptation, Environment, and Resilience: Ice-free Arctic Ocean</x:t>
  </x:si>
  <x:si>
    <x:t xml:space="preserve">Total fund £10m</x:t>
  </x:si>
  <x:si>
    <x:t xml:space="preserve">Final details at launch</x:t>
  </x:si>
  <x:si>
    <x:t xml:space="preserve">Potential fit for environmental/spatio-temporal statistics, extremes, data fusion and uncertainty quantification.</x:t>
  </x:si>
  <x:si>
    <x:t xml:space="preserve">Environment; climate; extremes</x:t>
  </x:si>
  <x:si>
    <x:t xml:space="preserve">Likely interdisciplinary consortium opportunity.</x:t>
  </x:si>
  <x:si>
    <x:t xml:space="preserve">Feb 2027</x:t>
  </x:si>
  <x:si>
    <x:t xml:space="preserve">Future Leaders Fellowships: round 12</x:t>
  </x:si>
  <x:si>
    <x:t xml:space="preserve">Total fund around £110m; previous fellowships £300k to &gt;£2m</x:t>
  </x:si>
  <x:si>
    <x:t xml:space="preserve">Personal awards; detailed eligibility at launch</x:t>
  </x:si>
  <x:si>
    <x:t xml:space="preserve">Major cross-disciplinary fellowship route for future research/innovation leaders in Statistics.</x:t>
  </x:si>
  <x:si>
    <x:t xml:space="preserve">Fellowship; all disciplines</x:t>
  </x:si>
  <x:si>
    <x:t xml:space="preserve">Important plan-ahead opportunity; likely internal selection at UofG—confirm when launched.</x:t>
  </x:si>
  <x:si>
    <x:t xml:space="preserve">University of Glasgow</x:t>
  </x:si>
  <x:si>
    <x:t xml:space="preserve">MedTech Innovation Fund</x:t>
  </x:si>
  <x:si>
    <x:t xml:space="preserve">Innovation / commercialisation</x:t>
  </x:si>
  <x:si>
    <x:t xml:space="preserve">See UofG current-round guidance</x:t>
  </x:si>
  <x:si>
    <x:t xml:space="preserve">UofG/GCU staff with salary support to 31 Jul 2027; healthcare/MedTech commercialisation focus</x:t>
  </x:si>
  <x:si>
    <x:t xml:space="preserve">Relevant to health statistics/AI where there is a device, diagnostic, software or commercialisable healthcare innovation.</x:t>
  </x:si>
  <x:si>
    <x:t xml:space="preserve">Health; AI/ML; innovation</x:t>
  </x:si>
  <x:si>
    <x:t xml:space="preserve">2026 round closed 18 Sep. Worth monitoring annually; prior case studies include ML and optimisation.</x:t>
  </x:si>
  <x:si>
    <x:t xml:space="preserve">https://www.gla.ac.uk/myglasgow/ris/ieed/innovation/innovationfunds/medtechinnovationfund/</x:t>
  </x:si>
  <x:si>
    <x:t xml:space="preserve">SWIFT / EPSRC</x:t>
  </x:si>
  <x:si>
    <x:t xml:space="preserve">SWIFT FlexiFund</x:t>
  </x:si>
  <x:si>
    <x:t xml:space="preserve">Impact / translation</x:t>
  </x:si>
  <x:si>
    <x:t xml:space="preserve">Up to £50,000; 6–12 months</x:t>
  </x:si>
  <x:si>
    <x:t xml:space="preserve">UK HEI/research organisation lead + at least one relevant non-academic partner/user/beneficiary; Forth &amp; Tay offshore wind benefit</x:t>
  </x:si>
  <x:si>
    <x:t xml:space="preserve">Strong applied fit for wind-energy forecasting, reliability, environmental statistics and data-driven offshore-wind tools.</x:t>
  </x:si>
  <x:si>
    <x:t xml:space="preserve">Energy; wind; impact; industry</x:t>
  </x:si>
  <x:si>
    <x:t xml:space="preserve">EOI closed 21 Sep; invited full proposal deadline 10 Nov 2026. Monitor future rounds.</x:t>
  </x:si>
  <x:si>
    <x:t xml:space="preserve">https://swiftoffshore.co.uk/funding/</x:t>
  </x:si>
  <x:si>
    <x:t xml:space="preserve">Funding Finder for Statistics (FFS) – working master list</x:t>
  </x:si>
  <x:si>
    <x:t xml:space="preserve">Purpose</x:t>
  </x:si>
  <x:si>
    <x:t xml:space="preserve">Curated opportunities likely to be useful to the University of Glasgow Statistics group. Designed as a source table for the Research &amp; Scholarship SharePoint funding finder.</x:t>
  </x:si>
  <x:si>
    <x:t xml:space="preserve">Last reviewed</x:t>
  </x:si>
  <x:si>
    <x:t xml:space="preserve">Curation rule</x:t>
  </x:si>
  <x:si>
    <x:t xml:space="preserve">Included where Statistics/Mathematical Sciences can plausibly lead, where statisticians could be substantive interdisciplinary collaborators, or where the scheme supports career development, visits, events or international collaboration relevant to the group.</x:t>
  </x:si>
  <x:si>
    <x:t xml:space="preserve">Status definitions</x:t>
  </x:si>
  <x:si>
    <x:t xml:space="preserve">OPEN = live and accepting applications; FORTHCOMING = announced by funder but final call may not yet be live; CLOSED – monitor recurrence = useful recurring/strategic call retained for planning; DEADLINE PASSED = assigned automatically when an exact deadline is before today.</x:t>
  </x:si>
  <x:si>
    <x:t xml:space="preserve">Suggested SharePoint filters</x:t>
  </x:si>
  <x:si>
    <x:t xml:space="preserve">Status; deadline; funder; type; theme tags; career stage / restriction.</x:t>
  </x:si>
  <x:si>
    <x:t xml:space="preserve">Important note</x:t>
  </x:si>
  <x:si>
    <x:t xml:space="preserve">Deadlines and eligibility can change. The Source column should be treated as the authoritative link and checked before an application is prepared.</x:t>
  </x:si>
  <x:si>
    <x:t xml:space="preserve">Source reviewed</x:t>
  </x:si>
  <x:si>
    <x:t xml:space="preserve">CoSE Funding Finder (uploaded workbook)</x:t>
  </x:si>
  <x:si>
    <x:t xml:space="preserve">ARIA opportunity spaces and active programme calls</x:t>
  </x:si>
  <x:si>
    <x:t xml:space="preserve">London Mathematical Society grants + deadline calendar</x:t>
  </x:si>
  <x:si>
    <x:t xml:space="preserve">Royal Society of Edinburgh Research Awards + autumn 2026 summary</x:t>
  </x:si>
  <x:si>
    <x:t xml:space="preserve">UKRI future research and innovation funding opportunities timeline (correct as of Sep 2026)</x:t>
  </x:si>
  <x:si>
    <x:t xml:space="preserve">University of Glasgow MedTech Innovation Fund</x:t>
  </x:si>
  <x:si>
    <x:t xml:space="preserve">Not carried over wholesale</x:t>
  </x:si>
  <x:si>
    <x:t xml:space="preserve">The CoSE finder contains many chemistry, engineering and discipline-specific prizes/calls that are not realistic Statistics opportunities. The FFS deliberately keeps only cross-cutting/core mathematical sciences opportunities and targeted application calls with a credible Statistics role.</x:t>
  </x:si>
  <x:si>
    <x:t xml:space="preserve">Email draft workflow</x:t>
  </x:si>
  <x:si>
    <x:t xml:space="preserve">Use the final six columns of the Funding opportunities table to prepare an Outlook email without sending it automatically.</x:t>
  </x:si>
  <x:si>
    <x:t xml:space="preserve">Step 1</x:t>
  </x:si>
  <x:si>
    <x:t xml:space="preserve">Step 2</x:t>
  </x:si>
  <x:si>
    <x:t xml:space="preserve">Review the generated Email subject and Email body.</x:t>
  </x:si>
  <x:si>
    <x:t xml:space="preserve">Step 3</x:t>
  </x:si>
  <x:si>
    <x:t xml:space="preserve">Copy the subject and body into Outlook, then copy the two hyperlink cells using Keep Source Formatting.</x:t>
  </x:si>
  <x:si>
    <x:t xml:space="preserve">Step 4</x:t>
  </x:si>
  <x:si>
    <x:t xml:space="preserve">Review and send the message manually, then enter the date in Notification date.</x:t>
  </x:si>
</x:sst>
</file>

<file path=xl/styles.xml><?xml version="1.0" encoding="utf-8"?>
<x:styleSheet xmlns:x="http://schemas.openxmlformats.org/spreadsheetml/2006/main">
  <x:numFmts count="2">
    <x:numFmt numFmtId="164" formatCode="dd\ mmm\ yyyy"/>
    <x:numFmt numFmtId="200" formatCode="dd mmm yyyy"/>
  </x:numFmts>
  <x:fonts count="1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sz val="11"/>
      <x:color rgb="FF7F6000"/>
      <x:name val="Arial"/>
    </x:font>
    <x:font>
      <x:sz val="11"/>
      <x:color rgb="FF1F4E78"/>
      <x:name val="Arial"/>
    </x:font>
    <x:font>
      <x:b/>
      <x:sz val="11"/>
      <x:color rgb="FFFFFFFF"/>
      <x:name val="Arial"/>
    </x:font>
    <x:font>
      <x:b/>
      <x:sz val="11"/>
      <x:color rgb="FF17365D"/>
      <x:name val="Arial"/>
    </x:font>
    <x:font>
      <x:sz val="11"/>
      <x:color rgb="FF222222"/>
      <x:name val="Arial"/>
    </x:font>
    <x:font>
      <x:b/>
      <x:sz val="11"/>
      <x:color rgb="FF990000"/>
      <x:name val="Arial"/>
    </x:font>
    <x:font>
      <x:b/>
      <x:sz val="11"/>
      <x:color rgb="FFFFFFFF"/>
      <x:name val="Arial"/>
    </x:font>
    <x:font>
      <x:b/>
      <x:sz val="11"/>
      <x:color rgb="FF38761D"/>
      <x:name val="Arial"/>
    </x:font>
    <x:font>
      <x:b/>
      <x:sz val="11"/>
      <x:color rgb="FF7F6000"/>
      <x:name val="Arial"/>
    </x:font>
    <x:font>
      <x:b/>
      <x:sz val="11"/>
      <x:color rgb="FF595959"/>
      <x:name val="Arial"/>
    </x:font>
  </x:fonts>
  <x:fills count="2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F4CCCC"/>
      </x:patternFill>
    </x:fill>
    <x:fill>
      <x:patternFill patternType="solid">
        <x:fgColor rgb="FFF4CCCC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E7E6E6"/>
      </x:patternFill>
    </x:fill>
  </x:fills>
  <x:borders count="1">
    <x:border/>
  </x:borders>
  <x:cellStyleXfs count="1">
    <x:xf numFmtId="0" fontId="0" fillId="0" borderId="0"/>
  </x:cellStyleXfs>
  <x:cellXfs count="67">
    <x:xf numFmtId="0" fontId="0" fillId="0" borderId="0" xfId="0"/>
    <x:xf numFmtId="0" fontId="1" fillId="2" borderId="0" xfId="0" applyFont="1" applyFill="1" applyAlignment="1">
      <x:alignment vertical="center" wrapText="1"/>
    </x:xf>
    <x:xf numFmtId="0" fontId="0" fillId="0" borderId="0" xfId="0" applyAlignment="1">
      <x:alignment wrapText="1"/>
    </x:xf>
    <x:xf numFmtId="164" fontId="0" fillId="0" borderId="0" xfId="0" applyNumberFormat="1" applyAlignment="1">
      <x:alignment wrapText="1"/>
    </x:xf>
    <x:xf numFmtId="0" fontId="3" fillId="3" borderId="0" xfId="0" applyFont="1" applyFill="1" applyAlignment="1">
      <x:alignment vertical="top" wrapText="1"/>
    </x:xf>
    <x:xf numFmtId="0" fontId="8" fillId="0" borderId="0" xfId="0" applyFont="1" applyAlignment="1">
      <x:alignment vertical="top" wrapText="1"/>
    </x:xf>
    <x:xf numFmtId="0" fontId="6" fillId="4" borderId="0" xfId="0" applyFont="1" applyFill="1" applyAlignment="1">
      <x:alignment vertical="center" wrapText="1"/>
    </x:xf>
    <x:xf numFmtId="0" fontId="7" fillId="5" borderId="0" xfId="0" applyFont="1" applyFill="1" applyAlignment="1">
      <x:alignment vertical="top"/>
    </x:xf>
    <x:xf numFmtId="0" fontId="4" fillId="6" borderId="0" xfId="0" applyFont="1" applyFill="1" applyAlignment="1">
      <x:alignment horizontal="center" vertical="center"/>
    </x:xf>
    <x:xf numFmtId="0" fontId="5" fillId="7" borderId="0" xfId="0" applyFont="1" applyFill="1" applyAlignment="1">
      <x:alignment vertical="top"/>
    </x:xf>
    <x:xf numFmtId="164" fontId="5" fillId="7" borderId="0" xfId="0" applyNumberFormat="1" applyFont="1" applyFill="1" applyAlignment="1">
      <x:alignment horizontal="center" vertical="top"/>
    </x:xf>
    <x:xf numFmtId="164" fontId="4" fillId="6" borderId="0" xfId="0" applyNumberFormat="1" applyFont="1" applyFill="1" applyAlignment="1">
      <x:alignment horizontal="center" vertical="center"/>
    </x:xf>
    <x:xf numFmtId="0" fontId="6" fillId="8" borderId="0" xfId="0" applyFont="1" applyFill="1" applyAlignment="1">
      <x:alignment horizontal="center" vertical="center" wrapText="1"/>
    </x:xf>
    <x:xf numFmtId="0" fontId="9" fillId="9" borderId="0" xfId="0" applyFont="1" applyFill="1" applyAlignment="1">
      <x:alignment vertical="center" wrapText="1"/>
    </x:xf>
    <x:xf numFmtId="0" fontId="2" fillId="2" borderId="0" xfId="0" applyFont="1" applyFill="1" applyAlignment="1">
      <x:alignment wrapText="1"/>
    </x:xf>
    <x:xf numFmtId="0" fontId="10" fillId="8" borderId="0" xfId="0" applyFont="1" applyFill="1" applyAlignment="1">
      <x:alignment horizontal="center" vertical="center" wrapText="1"/>
    </x:xf>
    <x:xf numFmtId="0" fontId="9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 applyAlignment="1">
      <x:alignment wrapText="1"/>
    </x:xf>
    <x:xf numFmtId="0" fontId="11" fillId="11" borderId="0" xfId="0" applyNumberFormat="1" applyFont="1" applyFill="1" applyBorder="1" applyAlignment="1">
      <x:alignment wrapText="1"/>
    </x:xf>
    <x:xf numFmtId="0" fontId="11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vertical="center" wrapText="1"/>
    </x:xf>
    <x:xf numFmtId="0" fontId="4" fillId="13" borderId="0" xfId="0" applyNumberFormat="1" applyFont="1" applyFill="1" applyBorder="1" applyAlignment="1">
      <x:alignment horizontal="center" vertical="center"/>
    </x:xf>
    <x:xf numFmtId="0" fontId="5" fillId="13" borderId="0" xfId="0" applyNumberFormat="1" applyFont="1" applyFill="1" applyBorder="1" applyAlignment="1">
      <x:alignment vertical="top"/>
    </x:xf>
    <x:xf numFmtId="0" fontId="4" fillId="13" borderId="0" xfId="0" applyNumberFormat="1" applyFont="1" applyFill="1" applyBorder="1" applyAlignment="1">
      <x:alignment vertical="top"/>
    </x:xf>
    <x:xf numFmtId="0" fontId="4" fillId="13" borderId="0" xfId="0" applyNumberFormat="1" applyFont="1" applyFill="1" applyBorder="1" applyAlignment="1">
      <x:alignment horizontal="center" vertical="top"/>
    </x:xf>
    <x:xf numFmtId="0" fontId="5" fillId="14" borderId="0" xfId="0" applyNumberFormat="1" applyFont="1" applyFill="1" applyBorder="1" applyAlignment="1">
      <x:alignment vertical="top"/>
    </x:xf>
    <x:xf numFmtId="164" fontId="5" fillId="14" borderId="0" xfId="0" applyNumberFormat="1" applyFont="1" applyFill="1" applyBorder="1" applyAlignment="1">
      <x:alignment horizontal="center" vertical="top"/>
    </x:xf>
    <x:xf numFmtId="164" fontId="4" fillId="14" borderId="0" xfId="0" applyNumberFormat="1" applyFont="1" applyFill="1" applyBorder="1" applyAlignment="1">
      <x:alignment horizontal="center" vertical="center"/>
    </x:xf>
    <x:xf numFmtId="164" fontId="5" fillId="14" borderId="0" xfId="0" applyNumberFormat="1" applyFont="1" applyFill="1" applyBorder="1" applyAlignment="1">
      <x:alignment horizontal="center" vertical="center"/>
    </x:xf>
    <x:xf numFmtId="0" fontId="5" fillId="14" borderId="0" xfId="0" applyNumberFormat="1" applyFont="1" applyFill="1" applyBorder="1" applyAlignment="1">
      <x:alignment vertical="top" wrapText="0"/>
    </x:xf>
    <x:xf numFmtId="164" fontId="5" fillId="14" borderId="0" xfId="0" applyNumberFormat="1" applyFont="1" applyFill="1" applyBorder="1" applyAlignment="1">
      <x:alignment horizontal="center" vertical="top" wrapText="0"/>
    </x:xf>
    <x:xf numFmtId="164" fontId="5" fillId="14" borderId="0" xfId="0" applyNumberFormat="1" applyFont="1" applyFill="1" applyBorder="1" applyAlignment="1">
      <x:alignment horizontal="center" vertical="center" wrapText="0"/>
    </x:xf>
    <x:xf numFmtId="0" fontId="0" fillId="13" borderId="0" xfId="0" applyNumberFormat="1" applyFont="1" applyFill="1" applyBorder="1"/>
    <x:xf numFmtId="0" fontId="4" fillId="13" borderId="0" xfId="0" applyNumberFormat="1" applyFont="1" applyFill="1" applyBorder="1"/>
    <x:xf numFmtId="200" fontId="4" fillId="13" borderId="0" xfId="0" applyNumberFormat="1" applyFont="1" applyFill="1" applyBorder="1"/>
    <x:xf numFmtId="200" fontId="4" fillId="13" borderId="0" xfId="0" applyNumberFormat="1" applyFont="1" applyFill="1" applyBorder="1" applyAlignment="1">
      <x:alignment horizontal="center"/>
    </x:xf>
    <x:xf numFmtId="200" fontId="4" fillId="13" borderId="0" xfId="0" applyNumberFormat="1" applyFont="1" applyFill="1" applyBorder="1" applyAlignment="1">
      <x:alignment horizontal="center" vertical="center"/>
    </x:xf>
    <x:xf numFmtId="0" fontId="6" fillId="15" borderId="0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6" fillId="15" borderId="0" xfId="0" applyNumberFormat="1" applyFont="1" applyFill="1" applyBorder="1"/>
    <x:xf numFmtId="0" fontId="6" fillId="15" borderId="0" xfId="0" applyNumberFormat="1" applyFont="1" applyFill="1" applyBorder="1" applyAlignment="1">
      <x:alignment wrapText="1"/>
    </x:xf>
    <x:xf numFmtId="0" fontId="6" fillId="15" borderId="0" xfId="0" applyNumberFormat="1" applyFont="1" applyFill="1" applyBorder="1" applyAlignment="1">
      <x:alignment horizontal="center" wrapText="1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16" borderId="0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/>
    <x:xf numFmtId="0" fontId="4" fillId="17" borderId="0" xfId="0" applyNumberFormat="1" applyFont="1" applyFill="1" applyBorder="1"/>
    <x:xf numFmtId="0" fontId="4" fillId="17" borderId="0" xfId="0" applyNumberFormat="1" applyFont="1" applyFill="1" applyBorder="1" applyAlignment="1">
      <x:alignment horizontal="center"/>
    </x:xf>
    <x:xf numFmtId="0" fontId="4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5" fillId="18" borderId="0" xfId="0" applyNumberFormat="1" applyFont="1" applyFill="1" applyBorder="1" applyAlignment="1">
      <x:alignment wrapText="0"/>
    </x:xf>
    <x:xf numFmtId="0" fontId="5" fillId="18" borderId="0" xfId="0" applyNumberFormat="1" applyFont="1" applyFill="1" applyBorder="1" applyAlignment="1">
      <x:alignment vertical="top" wrapText="0"/>
    </x:xf>
    <x:xf numFmtId="200" fontId="4" fillId="17" borderId="0" xfId="0" applyNumberFormat="1" applyFont="1" applyFill="1" applyBorder="1"/>
    <x:xf numFmtId="200" fontId="4" fillId="17" borderId="0" xfId="0" applyNumberFormat="1" applyFont="1" applyFill="1" applyBorder="1" applyAlignment="1">
      <x:alignment horizontal="center"/>
    </x:xf>
    <x:xf numFmtId="200" fontId="4" fillId="17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13" fillId="19" borderId="0" xfId="0" applyNumberFormat="1" applyFont="1" applyFill="1" applyBorder="1"/>
    <x:xf numFmtId="0" fontId="13" fillId="19" borderId="0" xfId="0" applyNumberFormat="1" applyFont="1" applyFill="1" applyBorder="1" applyAlignment="1">
      <x:alignment vertical="center"/>
    </x:xf>
    <x:xf numFmtId="0" fontId="12" fillId="17" borderId="0" xfId="0" applyNumberFormat="1" applyFont="1" applyFill="1" applyBorder="1"/>
    <x:xf numFmtId="0" fontId="12" fillId="1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3"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8761D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595959"/>
      </x:font>
      <x:fill>
        <x:patternFill>
          <x:bgColor rgb="FFE7E6E6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8761D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595959"/>
      </x:font>
      <x:fill>
        <x:patternFill>
          <x:bgColor rgb="FFE7E6E6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8761D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595959"/>
      </x:font>
      <x:fill>
        <x:patternFill>
          <x:bgColor rgb="FFE7E6E6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671f9c91204301" /><Relationship Type="http://schemas.openxmlformats.org/officeDocument/2006/relationships/theme" Target="/xl/theme/theme1.xml" Id="R4509e8cb195f4359" /><Relationship Type="http://schemas.openxmlformats.org/officeDocument/2006/relationships/sharedStrings" Target="/xl/sharedStrings.xml" Id="R409d18fcd5fe45ab" /><Relationship Type="http://schemas.openxmlformats.org/officeDocument/2006/relationships/worksheet" Target="/xl/worksheets/sheet1.xml" Id="R873e560c95b14efe" /><Relationship Type="http://schemas.openxmlformats.org/officeDocument/2006/relationships/worksheet" Target="/xl/worksheets/sheet2.xml" Id="R07ffef5285a14554" /></Relationships>
</file>

<file path=xl/tables/table1.xml><?xml version="1.0" encoding="utf-8"?>
<x:table xmlns:x="http://schemas.openxmlformats.org/spreadsheetml/2006/main" id="1" name="FundingFinderStats" displayName="FundingFinderStats" ref="A1:T49" headerRowCount="1" totalsRowCount="0" totalsRowShown="0">
  <x:autoFilter ref="A1:T49"/>
  <x:tableColumns count="20">
    <x:tableColumn id="1" name="Status"/>
    <x:tableColumn id="2" name="Deadline"/>
    <x:tableColumn id="3" name="Funder"/>
    <x:tableColumn id="4" name="Opportunity"/>
    <x:tableColumn id="5" name="Type"/>
    <x:tableColumn id="6" name="Funding / duration"/>
    <x:tableColumn id="7" name="Who can apply / key restriction"/>
    <x:tableColumn id="8" name="Why relevant to Statistics"/>
    <x:tableColumn id="9" name="Theme tags"/>
    <x:tableColumn id="10" name="Internal action / note"/>
    <x:tableColumn id="11" name="Source"/>
    <x:tableColumn id="12" name="Source list"/>
    <x:tableColumn id="13" name="Research / Scholarship"/>
    <x:tableColumn id="14" name="Status setting"/>
    <x:tableColumn id="15" name="Notify?"/>
    <x:tableColumn id="16" name="Email subject"/>
    <x:tableColumn id="17" name="Email body"/>
    <x:tableColumn id="18" name="Official opportunity link"/>
    <x:tableColumn id="19" name="Funding Finder link"/>
    <x:tableColumn id="20" name="Notification 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06c2a24e94f46bb" /></Relationships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18" customWidth="1"/>
    <x:col min="2" max="2" width="16" customWidth="1"/>
    <x:col min="3" max="3" width="22" customWidth="1"/>
    <x:col min="4" max="4" width="42" customWidth="1"/>
    <x:col min="5" max="5" width="22" customWidth="1"/>
    <x:col min="6" max="6" width="30" customWidth="1"/>
    <x:col min="7" max="7" width="40" customWidth="1"/>
    <x:col min="8" max="8" width="48" customWidth="1"/>
    <x:col min="9" max="9" width="28" customWidth="1"/>
    <x:col min="10" max="10" width="42" customWidth="1"/>
    <x:col min="11" max="11" width="50" customWidth="1"/>
    <x:col min="12" max="12" width="18" customWidth="1"/>
    <x:col min="13" max="13" width="24" hidden="0" customWidth="1"/>
    <x:col min="14" max="14" width="27" hidden="0" customWidth="1"/>
    <x:col min="15" max="15" width="34" hidden="0" customWidth="1"/>
    <x:col min="16" max="16" width="32" hidden="0" customWidth="1"/>
    <x:col min="17" max="17" width="48" hidden="0" customWidth="1"/>
    <x:col min="18" max="18" width="24" hidden="0" customWidth="1"/>
    <x:col min="19" max="19" width="20" hidden="0" customWidth="1"/>
    <x:col min="20" max="20" width="17" hidden="0" customWidth="1"/>
  </x:cols>
  <x:sheetData>
    <x:row r="1" ht="60.2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39" t="str">
        <x:v>Research / Scholarship</x:v>
      </x:c>
      <x:c r="N1" s="39" t="str">
        <x:v>Status setting</x:v>
      </x:c>
      <x:c r="O1" s="39" t="str">
        <x:v>Notify?</x:v>
      </x:c>
      <x:c r="P1" s="39" t="str">
        <x:v>Email subject</x:v>
      </x:c>
      <x:c r="Q1" s="39" t="str">
        <x:v>Email body</x:v>
      </x:c>
      <x:c r="R1" s="39" t="str">
        <x:v>Official opportunity link</x:v>
      </x:c>
      <x:c r="S1" s="39" t="str">
        <x:v>Funding Finder link</x:v>
      </x:c>
      <x:c r="T1" s="39" t="str">
        <x:v>Notification date</x:v>
      </x:c>
    </x:row>
    <x:row r="2" ht="30">
      <x:c r="A2" s="16" t="str">
        <x:f t="shared" ref="A2:A42" ca="1" si="0">IF(AND(ISNUMBER(B2),B2&lt;TODAY()),"DEADLINE PASSED",N2)</x:f>
        <x:v>DEADLINE PASSED</x:v>
      </x:c>
      <x:c r="B2" s="3">
        <x:v>46295</x:v>
      </x:c>
      <x:c r="C2" s="2" t="s">
        <x:v>12</x:v>
      </x:c>
      <x:c r="D2" s="2" t="s">
        <x:v>13</x:v>
      </x:c>
      <x:c r="E2" s="2" t="s">
        <x:v>14</x:v>
      </x:c>
      <x:c r="F2" s="2" t="s">
        <x:v>15</x:v>
      </x:c>
      <x:c r="G2" s="2" t="s">
        <x:v>16</x:v>
      </x:c>
      <x:c r="H2" s="2" t="s">
        <x:v>17</x:v>
      </x:c>
      <x:c r="I2" s="2" t="s">
        <x:v>18</x:v>
      </x:c>
      <x:c r="J2" s="2" t="s">
        <x:v>19</x:v>
      </x:c>
      <x:c r="K2" s="2" t="s">
        <x:v>20</x:v>
      </x:c>
      <x:c r="L2" s="2" t="s">
        <x:v>12</x:v>
      </x:c>
      <x:c r="M2" s="23" t="str">
        <x:v>Research</x:v>
      </x:c>
      <x:c r="N2" s="23" t="str">
        <x:v>OPEN</x:v>
      </x:c>
      <x:c r="O2" s="23" t="str">
        <x:f t="shared" ref="O2:O42" si="1">IF(N2&lt;&gt;"Yes","","New funding opportunity added: "&amp;D2)</x:f>
        <x:v>Added at launch – no notification</x:v>
      </x:c>
      <x:c r="P2" s="31" t="str">
        <x:f t="shared" ref="P2:P42" si="2">IF(O2&lt;&gt;"Yes","","New funding opportunity added: "&amp;D2)</x:f>
      </x:c>
      <x:c r="Q2" s="32" t="str">
        <x:f t="shared" ref="Q2:Q42" si="3">IF(O2&lt;&gt;"Yes","","Hello,"&amp;CHAR(10)&amp;CHAR(10)&amp;"A new funding opportunity has been added to the Funding Finder for Statistics."&amp;CHAR(10)&amp;CHAR(10)&amp;D2&amp;CHAR(10)&amp;CHAR(10)&amp;"Funder: "&amp;C2&amp;CHAR(10)&amp;"Deadline: "&amp;IF(ISNUMBER(B2),TEXT(B2,"d mmmm yyyy"),B2)&amp;CHAR(10)&amp;"Funding and duration: "&amp;F2&amp;CHAR(10)&amp;CHAR(10)&amp;"Who can apply:"&amp;CHAR(10)&amp;G2&amp;CHAR(10)&amp;CHAR(10)&amp;"Why it may be relevant to Statistics:"&amp;CHAR(10)&amp;H2&amp;CHAR(10)&amp;CHAR(10)&amp;"Themes: "&amp;I2&amp;CHAR(10)&amp;CHAR(10)&amp;"Official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" s="32" t="str">
        <x:f t="shared" ref="R2:R42" si="4">IF(O2&lt;&gt;"Yes","",HYPERLINK(K2,"View official opportunity"))</x:f>
      </x:c>
      <x:c r="S2" s="32" t="str">
        <x:f>IF(O2&lt;&gt;"Yes","",HYPERLINK("https://uofgstats.github.io/research-and-scholarship/","Open Funding Finder"))</x:f>
      </x:c>
      <x:c r="T2" s="38"/>
    </x:row>
    <x:row r="3" ht="30">
      <x:c r="A3" s="16" t="str">
        <x:f t="shared" ca="1" si="0">IF(AND(ISNUMBER(B3),B3&lt;TODAY()),"DEADLINE PASSED",N3)</x:f>
        <x:v>DEADLINE PASSED</x:v>
      </x:c>
      <x:c r="B3" s="3">
        <x:v>46295</x:v>
      </x:c>
      <x:c r="C3" s="2" t="s">
        <x:v>21</x:v>
      </x:c>
      <x:c r="D3" s="2" t="s">
        <x:v>22</x:v>
      </x:c>
      <x:c r="E3" s="2" t="s">
        <x:v>23</x:v>
      </x:c>
      <x:c r="F3" s="2" t="s">
        <x:v>24</x:v>
      </x:c>
      <x:c r="G3" s="2" t="s">
        <x:v>25</x:v>
      </x:c>
      <x:c r="H3" s="2" t="s">
        <x:v>26</x:v>
      </x:c>
      <x:c r="I3" s="2" t="s">
        <x:v>27</x:v>
      </x:c>
      <x:c r="J3" s="2" t="s">
        <x:v>28</x:v>
      </x:c>
      <x:c r="K3" s="2" t="s">
        <x:v>29</x:v>
      </x:c>
      <x:c r="L3" s="2" t="s">
        <x:v>21</x:v>
      </x:c>
      <x:c r="M3" s="23" t="str">
        <x:v>Research</x:v>
      </x:c>
      <x:c r="N3" s="23" t="str">
        <x:v>OPEN</x:v>
      </x:c>
      <x:c r="O3" s="23" t="str">
        <x:f t="shared" si="1"/>
        <x:v>Added at launch – no notification</x:v>
      </x:c>
      <x:c r="P3" s="31" t="str">
        <x:f t="shared" si="2">IF(O3&lt;&gt;"Yes","","New funding opportunity added: "&amp;D3)</x:f>
      </x:c>
      <x:c r="Q3" s="32" t="str">
        <x:f t="shared" si="3">IF(O3&lt;&gt;"Yes","","Hello,"&amp;CHAR(10)&amp;CHAR(10)&amp;"A new funding opportunity has been added to the Funding Finder for Statistics."&amp;CHAR(10)&amp;CHAR(10)&amp;D3&amp;CHAR(10)&amp;CHAR(10)&amp;"Funder: "&amp;C3&amp;CHAR(10)&amp;"Deadline: "&amp;IF(ISNUMBER(B3),TEXT(B3,"d mmmm yyyy"),B3)&amp;CHAR(10)&amp;"Funding and duration: "&amp;F3&amp;CHAR(10)&amp;CHAR(10)&amp;"Who can apply:"&amp;CHAR(10)&amp;G3&amp;CHAR(10)&amp;CHAR(10)&amp;"Why it may be relevant to Statistics:"&amp;CHAR(10)&amp;H3&amp;CHAR(10)&amp;CHAR(10)&amp;"Themes: "&amp;I3&amp;CHAR(10)&amp;CHAR(10)&amp;"Official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" s="32" t="str">
        <x:f t="shared" si="4">IF(O3&lt;&gt;"Yes","",HYPERLINK(K3,"View official opportunity"))</x:f>
      </x:c>
      <x:c r="S3" s="32" t="str">
        <x:f>IF(O3&lt;&gt;"Yes","",HYPERLINK("https://uofgstats.github.io/research-and-scholarship/","Open Funding Finder"))</x:f>
      </x:c>
      <x:c r="T3" s="38"/>
    </x:row>
    <x:row r="4" ht="30">
      <x:c r="A4" s="19" t="str">
        <x:f t="shared" ca="1" si="0">IF(AND(ISNUMBER(B4),B4&lt;TODAY()),"DEADLINE PASSED",N4)</x:f>
        <x:v>OPEN</x:v>
      </x:c>
      <x:c r="B4" s="3">
        <x:v>46296</x:v>
      </x:c>
      <x:c r="C4" s="2" t="s">
        <x:v>30</x:v>
      </x:c>
      <x:c r="D4" s="2" t="s">
        <x:v>31</x:v>
      </x:c>
      <x:c r="E4" s="2" t="s">
        <x:v>32</x:v>
      </x:c>
      <x:c r="F4" s="2" t="s">
        <x:v>33</x:v>
      </x:c>
      <x:c r="G4" s="2" t="s">
        <x:v>34</x:v>
      </x:c>
      <x:c r="H4" s="2" t="s">
        <x:v>35</x:v>
      </x:c>
      <x:c r="I4" s="2" t="s">
        <x:v>36</x:v>
      </x:c>
      <x:c r="J4" s="2" t="s">
        <x:v>37</x:v>
      </x:c>
      <x:c r="K4" s="2" t="s">
        <x:v>38</x:v>
      </x:c>
      <x:c r="L4" s="2" t="s">
        <x:v>12</x:v>
      </x:c>
      <x:c r="M4" s="23" t="str">
        <x:v>Research</x:v>
      </x:c>
      <x:c r="N4" s="23" t="str">
        <x:v>OPEN</x:v>
      </x:c>
      <x:c r="O4" s="23" t="str">
        <x:f t="shared" si="1"/>
        <x:v>Added at launch – no notification</x:v>
      </x:c>
      <x:c r="P4" s="31" t="str">
        <x:f t="shared" si="2">IF(O4&lt;&gt;"Yes","","New funding opportunity added: "&amp;D4)</x:f>
      </x:c>
      <x:c r="Q4" s="32" t="str">
        <x:f t="shared" si="3">IF(O4&lt;&gt;"Yes","","Hello,"&amp;CHAR(10)&amp;CHAR(10)&amp;"A new funding opportunity has been added to the Funding Finder for Statistics."&amp;CHAR(10)&amp;CHAR(10)&amp;D4&amp;CHAR(10)&amp;CHAR(10)&amp;"Funder: "&amp;C4&amp;CHAR(10)&amp;"Deadline: "&amp;IF(ISNUMBER(B4),TEXT(B4,"d mmmm yyyy"),B4)&amp;CHAR(10)&amp;"Funding and duration: "&amp;F4&amp;CHAR(10)&amp;CHAR(10)&amp;"Who can apply:"&amp;CHAR(10)&amp;G4&amp;CHAR(10)&amp;CHAR(10)&amp;"Why it may be relevant to Statistics:"&amp;CHAR(10)&amp;H4&amp;CHAR(10)&amp;CHAR(10)&amp;"Themes: "&amp;I4&amp;CHAR(10)&amp;CHAR(10)&amp;"Official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4" s="32" t="str">
        <x:f t="shared" si="4">IF(O4&lt;&gt;"Yes","",HYPERLINK(K4,"View official opportunity"))</x:f>
      </x:c>
      <x:c r="S4" s="32" t="str">
        <x:f>IF(O4&lt;&gt;"Yes","",HYPERLINK("https://uofgstats.github.io/research-and-scholarship/","Open Funding Finder"))</x:f>
      </x:c>
      <x:c r="T4" s="38"/>
    </x:row>
    <x:row r="5" ht="45">
      <x:c r="A5" s="19" t="str">
        <x:f t="shared" ca="1" si="0">IF(AND(ISNUMBER(B5),B5&lt;TODAY()),"DEADLINE PASSED",N5)</x:f>
        <x:v>OPEN</x:v>
      </x:c>
      <x:c r="B5" s="3">
        <x:v>46304</x:v>
      </x:c>
      <x:c r="C5" s="2" t="s">
        <x:v>21</x:v>
      </x:c>
      <x:c r="D5" s="2" t="s">
        <x:v>39</x:v>
      </x:c>
      <x:c r="E5" s="2" t="s">
        <x:v>23</x:v>
      </x:c>
      <x:c r="F5" s="2" t="s">
        <x:v>40</x:v>
      </x:c>
      <x:c r="G5" s="2" t="s">
        <x:v>41</x:v>
      </x:c>
      <x:c r="H5" s="2" t="s">
        <x:v>42</x:v>
      </x:c>
      <x:c r="I5" s="2" t="s">
        <x:v>43</x:v>
      </x:c>
      <x:c r="J5" s="2" t="s">
        <x:v>44</x:v>
      </x:c>
      <x:c r="K5" s="2" t="s">
        <x:v>45</x:v>
      </x:c>
      <x:c r="L5" s="2" t="s">
        <x:v>21</x:v>
      </x:c>
      <x:c r="M5" s="23" t="str">
        <x:v>Research</x:v>
      </x:c>
      <x:c r="N5" s="23" t="str">
        <x:v>OPEN</x:v>
      </x:c>
      <x:c r="O5" s="23" t="str">
        <x:f t="shared" si="1"/>
        <x:v>Added at launch – no notification</x:v>
      </x:c>
      <x:c r="P5" s="31" t="str">
        <x:f t="shared" si="2">IF(O5&lt;&gt;"Yes","","New funding opportunity added: "&amp;D5)</x:f>
      </x:c>
      <x:c r="Q5" s="32" t="str">
        <x:f t="shared" si="3">IF(O5&lt;&gt;"Yes","","Hello,"&amp;CHAR(10)&amp;CHAR(10)&amp;"A new funding opportunity has been added to the Funding Finder for Statistics."&amp;CHAR(10)&amp;CHAR(10)&amp;D5&amp;CHAR(10)&amp;CHAR(10)&amp;"Funder: "&amp;C5&amp;CHAR(10)&amp;"Deadline: "&amp;IF(ISNUMBER(B5),TEXT(B5,"d mmmm yyyy"),B5)&amp;CHAR(10)&amp;"Funding and duration: "&amp;F5&amp;CHAR(10)&amp;CHAR(10)&amp;"Who can apply:"&amp;CHAR(10)&amp;G5&amp;CHAR(10)&amp;CHAR(10)&amp;"Why it may be relevant to Statistics:"&amp;CHAR(10)&amp;H5&amp;CHAR(10)&amp;CHAR(10)&amp;"Themes: "&amp;I5&amp;CHAR(10)&amp;CHAR(10)&amp;"Official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5" s="32" t="str">
        <x:f t="shared" si="4">IF(O5&lt;&gt;"Yes","",HYPERLINK(K5,"View official opportunity"))</x:f>
      </x:c>
      <x:c r="S5" s="32" t="str">
        <x:f>IF(O5&lt;&gt;"Yes","",HYPERLINK("https://uofgstats.github.io/research-and-scholarship/","Open Funding Finder"))</x:f>
      </x:c>
      <x:c r="T5" s="38"/>
    </x:row>
    <x:row r="6" ht="30">
      <x:c r="A6" s="19" t="str">
        <x:f t="shared" ca="1" si="0">IF(AND(ISNUMBER(B6),B6&lt;TODAY()),"DEADLINE PASSED",N6)</x:f>
        <x:v>OPEN</x:v>
      </x:c>
      <x:c r="B6" s="3">
        <x:v>46310</x:v>
      </x:c>
      <x:c r="C6" s="2" t="s">
        <x:v>12</x:v>
      </x:c>
      <x:c r="D6" s="2" t="s">
        <x:v>46</x:v>
      </x:c>
      <x:c r="E6" s="2" t="s">
        <x:v>47</x:v>
      </x:c>
      <x:c r="F6" s="2" t="s">
        <x:v>48</x:v>
      </x:c>
      <x:c r="G6" s="2" t="s">
        <x:v>49</x:v>
      </x:c>
      <x:c r="H6" s="2" t="s">
        <x:v>50</x:v>
      </x:c>
      <x:c r="I6" s="2" t="s">
        <x:v>51</x:v>
      </x:c>
      <x:c r="J6" s="2" t="s">
        <x:v>52</x:v>
      </x:c>
      <x:c r="K6" s="2" t="s">
        <x:v>20</x:v>
      </x:c>
      <x:c r="L6" s="2" t="s">
        <x:v>12</x:v>
      </x:c>
      <x:c r="M6" s="23" t="str">
        <x:v>Research</x:v>
      </x:c>
      <x:c r="N6" s="23" t="str">
        <x:v>OPEN</x:v>
      </x:c>
      <x:c r="O6" s="23" t="str">
        <x:f t="shared" si="1"/>
        <x:v>Added at launch – no notification</x:v>
      </x:c>
      <x:c r="P6" s="31" t="str">
        <x:f t="shared" si="2">IF(O6&lt;&gt;"Yes","","New funding opportunity added: "&amp;D6)</x:f>
      </x:c>
      <x:c r="Q6" s="32" t="str">
        <x:f t="shared" si="3">IF(O6&lt;&gt;"Yes","","Hello,"&amp;CHAR(10)&amp;CHAR(10)&amp;"A new funding opportunity has been added to the Funding Finder for Statistics."&amp;CHAR(10)&amp;CHAR(10)&amp;D6&amp;CHAR(10)&amp;CHAR(10)&amp;"Funder: "&amp;C6&amp;CHAR(10)&amp;"Deadline: "&amp;IF(ISNUMBER(B6),TEXT(B6,"d mmmm yyyy"),B6)&amp;CHAR(10)&amp;"Funding and duration: "&amp;F6&amp;CHAR(10)&amp;CHAR(10)&amp;"Who can apply:"&amp;CHAR(10)&amp;G6&amp;CHAR(10)&amp;CHAR(10)&amp;"Why it may be relevant to Statistics:"&amp;CHAR(10)&amp;H6&amp;CHAR(10)&amp;CHAR(10)&amp;"Themes: "&amp;I6&amp;CHAR(10)&amp;CHAR(10)&amp;"Official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6" s="32" t="str">
        <x:f t="shared" si="4">IF(O6&lt;&gt;"Yes","",HYPERLINK(K6,"View official opportunity"))</x:f>
      </x:c>
      <x:c r="S6" s="32" t="str">
        <x:f>IF(O6&lt;&gt;"Yes","",HYPERLINK("https://uofgstats.github.io/research-and-scholarship/","Open Funding Finder"))</x:f>
      </x:c>
      <x:c r="T6" s="38"/>
    </x:row>
    <x:row r="7" ht="30">
      <x:c r="A7" s="19" t="str">
        <x:f t="shared" ca="1" si="0">IF(AND(ISNUMBER(B7),B7&lt;TODAY()),"DEADLINE PASSED",N7)</x:f>
        <x:v>OPEN</x:v>
      </x:c>
      <x:c r="B7" s="3">
        <x:v>46310</x:v>
      </x:c>
      <x:c r="C7" s="2" t="s">
        <x:v>12</x:v>
      </x:c>
      <x:c r="D7" s="2" t="s">
        <x:v>53</x:v>
      </x:c>
      <x:c r="E7" s="2" t="s">
        <x:v>54</x:v>
      </x:c>
      <x:c r="F7" s="2" t="s">
        <x:v>55</x:v>
      </x:c>
      <x:c r="G7" s="2" t="s">
        <x:v>56</x:v>
      </x:c>
      <x:c r="H7" s="2" t="s">
        <x:v>57</x:v>
      </x:c>
      <x:c r="I7" s="2" t="s">
        <x:v>58</x:v>
      </x:c>
      <x:c r="J7" s="2" t="s">
        <x:v>52</x:v>
      </x:c>
      <x:c r="K7" s="2" t="s">
        <x:v>20</x:v>
      </x:c>
      <x:c r="L7" s="2" t="s">
        <x:v>12</x:v>
      </x:c>
      <x:c r="M7" s="23" t="str">
        <x:v>Research</x:v>
      </x:c>
      <x:c r="N7" s="23" t="str">
        <x:v>OPEN</x:v>
      </x:c>
      <x:c r="O7" s="23" t="str">
        <x:f t="shared" si="1"/>
        <x:v>Added at launch – no notification</x:v>
      </x:c>
      <x:c r="P7" s="31" t="str">
        <x:f t="shared" si="2">IF(O7&lt;&gt;"Yes","","New funding opportunity added: "&amp;D7)</x:f>
      </x:c>
      <x:c r="Q7" s="32" t="str">
        <x:f t="shared" si="3">IF(O7&lt;&gt;"Yes","","Hello,"&amp;CHAR(10)&amp;CHAR(10)&amp;"A new funding opportunity has been added to the Funding Finder for Statistics."&amp;CHAR(10)&amp;CHAR(10)&amp;D7&amp;CHAR(10)&amp;CHAR(10)&amp;"Funder: "&amp;C7&amp;CHAR(10)&amp;"Deadline: "&amp;IF(ISNUMBER(B7),TEXT(B7,"d mmmm yyyy"),B7)&amp;CHAR(10)&amp;"Funding and duration: "&amp;F7&amp;CHAR(10)&amp;CHAR(10)&amp;"Who can apply:"&amp;CHAR(10)&amp;G7&amp;CHAR(10)&amp;CHAR(10)&amp;"Why it may be relevant to Statistics:"&amp;CHAR(10)&amp;H7&amp;CHAR(10)&amp;CHAR(10)&amp;"Themes: "&amp;I7&amp;CHAR(10)&amp;CHAR(10)&amp;"Official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7" s="32" t="str">
        <x:f t="shared" si="4">IF(O7&lt;&gt;"Yes","",HYPERLINK(K7,"View official opportunity"))</x:f>
      </x:c>
      <x:c r="S7" s="32" t="str">
        <x:f>IF(O7&lt;&gt;"Yes","",HYPERLINK("https://uofgstats.github.io/research-and-scholarship/","Open Funding Finder"))</x:f>
      </x:c>
      <x:c r="T7" s="38"/>
    </x:row>
    <x:row r="8" ht="45">
      <x:c r="A8" s="19" t="str">
        <x:f t="shared" ca="1" si="0">IF(AND(ISNUMBER(B8),B8&lt;TODAY()),"DEADLINE PASSED",N8)</x:f>
        <x:v>OPEN</x:v>
      </x:c>
      <x:c r="B8" s="3">
        <x:v>46310</x:v>
      </x:c>
      <x:c r="C8" s="2" t="s">
        <x:v>12</x:v>
      </x:c>
      <x:c r="D8" s="2" t="s">
        <x:v>59</x:v>
      </x:c>
      <x:c r="E8" s="2" t="s">
        <x:v>60</x:v>
      </x:c>
      <x:c r="F8" s="2" t="s">
        <x:v>61</x:v>
      </x:c>
      <x:c r="G8" s="2" t="s">
        <x:v>62</x:v>
      </x:c>
      <x:c r="H8" s="2" t="s">
        <x:v>63</x:v>
      </x:c>
      <x:c r="I8" s="2" t="s">
        <x:v>64</x:v>
      </x:c>
      <x:c r="J8" s="2" t="s">
        <x:v>65</x:v>
      </x:c>
      <x:c r="K8" s="2" t="s">
        <x:v>66</x:v>
      </x:c>
      <x:c r="L8" s="2" t="s">
        <x:v>12</x:v>
      </x:c>
      <x:c r="M8" s="23" t="str">
        <x:v>Research</x:v>
      </x:c>
      <x:c r="N8" s="23" t="str">
        <x:v>OPEN</x:v>
      </x:c>
      <x:c r="O8" s="23" t="str">
        <x:f t="shared" si="1"/>
        <x:v>Added at launch – no notification</x:v>
      </x:c>
      <x:c r="P8" s="31" t="str">
        <x:f t="shared" si="2">IF(O8&lt;&gt;"Yes","","New funding opportunity added: "&amp;D8)</x:f>
      </x:c>
      <x:c r="Q8" s="32" t="str">
        <x:f t="shared" si="3">IF(O8&lt;&gt;"Yes","","Hello,"&amp;CHAR(10)&amp;CHAR(10)&amp;"A new funding opportunity has been added to the Funding Finder for Statistics."&amp;CHAR(10)&amp;CHAR(10)&amp;D8&amp;CHAR(10)&amp;CHAR(10)&amp;"Funder: "&amp;C8&amp;CHAR(10)&amp;"Deadline: "&amp;IF(ISNUMBER(B8),TEXT(B8,"d mmmm yyyy"),B8)&amp;CHAR(10)&amp;"Funding and duration: "&amp;F8&amp;CHAR(10)&amp;CHAR(10)&amp;"Who can apply:"&amp;CHAR(10)&amp;G8&amp;CHAR(10)&amp;CHAR(10)&amp;"Why it may be relevant to Statistics:"&amp;CHAR(10)&amp;H8&amp;CHAR(10)&amp;CHAR(10)&amp;"Themes: "&amp;I8&amp;CHAR(10)&amp;CHAR(10)&amp;"Official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8" s="32" t="str">
        <x:f t="shared" si="4">IF(O8&lt;&gt;"Yes","",HYPERLINK(K8,"View official opportunity"))</x:f>
      </x:c>
      <x:c r="S8" s="32" t="str">
        <x:f>IF(O8&lt;&gt;"Yes","",HYPERLINK("https://uofgstats.github.io/research-and-scholarship/","Open Funding Finder"))</x:f>
      </x:c>
      <x:c r="T8" s="38"/>
    </x:row>
    <x:row r="9" ht="30">
      <x:c r="A9" s="19" t="str">
        <x:f t="shared" ca="1" si="0">IF(AND(ISNUMBER(B9),B9&lt;TODAY()),"DEADLINE PASSED",N9)</x:f>
        <x:v>OPEN</x:v>
      </x:c>
      <x:c r="B9" s="3">
        <x:v>46316</x:v>
      </x:c>
      <x:c r="C9" s="2" t="s">
        <x:v>67</x:v>
      </x:c>
      <x:c r="D9" s="2" t="s">
        <x:v>68</x:v>
      </x:c>
      <x:c r="E9" s="2" t="s">
        <x:v>69</x:v>
      </x:c>
      <x:c r="F9" s="2" t="s">
        <x:v>70</x:v>
      </x:c>
      <x:c r="G9" s="2" t="s">
        <x:v>71</x:v>
      </x:c>
      <x:c r="H9" s="2" t="s">
        <x:v>72</x:v>
      </x:c>
      <x:c r="I9" s="2" t="s">
        <x:v>73</x:v>
      </x:c>
      <x:c r="J9" s="2" t="s">
        <x:v>74</x:v>
      </x:c>
      <x:c r="K9" s="2" t="s">
        <x:v>75</x:v>
      </x:c>
      <x:c r="L9" s="2" t="s">
        <x:v>67</x:v>
      </x:c>
      <x:c r="M9" s="23" t="str">
        <x:v>Research</x:v>
      </x:c>
      <x:c r="N9" s="23" t="str">
        <x:v>OPEN</x:v>
      </x:c>
      <x:c r="O9" s="23" t="str">
        <x:f t="shared" si="1"/>
        <x:v>Added at launch – no notification</x:v>
      </x:c>
      <x:c r="P9" s="31" t="str">
        <x:f t="shared" si="2">IF(O9&lt;&gt;"Yes","","New funding opportunity added: "&amp;D9)</x:f>
      </x:c>
      <x:c r="Q9" s="32" t="str">
        <x:f t="shared" si="3">IF(O9&lt;&gt;"Yes","","Hello,"&amp;CHAR(10)&amp;CHAR(10)&amp;"A new funding opportunity has been added to the Funding Finder for Statistics."&amp;CHAR(10)&amp;CHAR(10)&amp;D9&amp;CHAR(10)&amp;CHAR(10)&amp;"Funder: "&amp;C9&amp;CHAR(10)&amp;"Deadline: "&amp;IF(ISNUMBER(B9),TEXT(B9,"d mmmm yyyy"),B9)&amp;CHAR(10)&amp;"Funding and duration: "&amp;F9&amp;CHAR(10)&amp;CHAR(10)&amp;"Who can apply:"&amp;CHAR(10)&amp;G9&amp;CHAR(10)&amp;CHAR(10)&amp;"Why it may be relevant to Statistics:"&amp;CHAR(10)&amp;H9&amp;CHAR(10)&amp;CHAR(10)&amp;"Themes: "&amp;I9&amp;CHAR(10)&amp;CHAR(10)&amp;"Official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9" s="32" t="str">
        <x:f t="shared" si="4">IF(O9&lt;&gt;"Yes","",HYPERLINK(K9,"View official opportunity"))</x:f>
      </x:c>
      <x:c r="S9" s="32" t="str">
        <x:f>IF(O9&lt;&gt;"Yes","",HYPERLINK("https://uofgstats.github.io/research-and-scholarship/","Open Funding Finder"))</x:f>
      </x:c>
      <x:c r="T9" s="38"/>
    </x:row>
    <x:row r="10" ht="30">
      <x:c r="A10" s="19" t="str">
        <x:f t="shared" ca="1" si="0">IF(AND(ISNUMBER(B10),B10&lt;TODAY()),"DEADLINE PASSED",N10)</x:f>
        <x:v>OPEN</x:v>
      </x:c>
      <x:c r="B10" s="3">
        <x:v>46316</x:v>
      </x:c>
      <x:c r="C10" s="2" t="s">
        <x:v>67</x:v>
      </x:c>
      <x:c r="D10" s="2" t="s">
        <x:v>76</x:v>
      </x:c>
      <x:c r="E10" s="2" t="s">
        <x:v>77</x:v>
      </x:c>
      <x:c r="F10" s="2" t="s">
        <x:v>78</x:v>
      </x:c>
      <x:c r="G10" s="2" t="s">
        <x:v>79</x:v>
      </x:c>
      <x:c r="H10" s="2" t="s">
        <x:v>80</x:v>
      </x:c>
      <x:c r="I10" s="2" t="s">
        <x:v>81</x:v>
      </x:c>
      <x:c r="J10" s="2" t="s">
        <x:v>82</x:v>
      </x:c>
      <x:c r="K10" s="2" t="s">
        <x:v>83</x:v>
      </x:c>
      <x:c r="L10" s="2" t="s">
        <x:v>67</x:v>
      </x:c>
      <x:c r="M10" s="23" t="str">
        <x:v>Research</x:v>
      </x:c>
      <x:c r="N10" s="23" t="str">
        <x:v>OPEN</x:v>
      </x:c>
      <x:c r="O10" s="23" t="str">
        <x:f t="shared" si="1"/>
        <x:v>Added at launch – no notification</x:v>
      </x:c>
      <x:c r="P10" s="31" t="str">
        <x:f t="shared" si="2">IF(O10&lt;&gt;"Yes","","New funding opportunity added: "&amp;D10)</x:f>
      </x:c>
      <x:c r="Q10" s="32" t="str">
        <x:f t="shared" si="3">IF(O10&lt;&gt;"Yes","","Hello,"&amp;CHAR(10)&amp;CHAR(10)&amp;"A new funding opportunity has been added to the Funding Finder for Statistics."&amp;CHAR(10)&amp;CHAR(10)&amp;D10&amp;CHAR(10)&amp;CHAR(10)&amp;"Funder: "&amp;C10&amp;CHAR(10)&amp;"Deadline: "&amp;IF(ISNUMBER(B10),TEXT(B10,"d mmmm yyyy"),B10)&amp;CHAR(10)&amp;"Funding and duration: "&amp;F10&amp;CHAR(10)&amp;CHAR(10)&amp;"Who can apply:"&amp;CHAR(10)&amp;G10&amp;CHAR(10)&amp;CHAR(10)&amp;"Why it may be relevant to Statistics:"&amp;CHAR(10)&amp;H10&amp;CHAR(10)&amp;CHAR(10)&amp;"Themes: "&amp;I10&amp;CHAR(10)&amp;CHAR(10)&amp;"Official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0" s="32" t="str">
        <x:f t="shared" si="4">IF(O10&lt;&gt;"Yes","",HYPERLINK(K10,"View official opportunity"))</x:f>
      </x:c>
      <x:c r="S10" s="32" t="str">
        <x:f>IF(O10&lt;&gt;"Yes","",HYPERLINK("https://uofgstats.github.io/research-and-scholarship/","Open Funding Finder"))</x:f>
      </x:c>
      <x:c r="T10" s="38"/>
    </x:row>
    <x:row r="11" ht="30">
      <x:c r="A11" s="19" t="str">
        <x:f t="shared" ca="1" si="0">IF(AND(ISNUMBER(B11),B11&lt;TODAY()),"DEADLINE PASSED",N11)</x:f>
        <x:v>OPEN</x:v>
      </x:c>
      <x:c r="B11" s="3">
        <x:v>46316</x:v>
      </x:c>
      <x:c r="C11" s="2" t="s">
        <x:v>67</x:v>
      </x:c>
      <x:c r="D11" s="2" t="s">
        <x:v>84</x:v>
      </x:c>
      <x:c r="E11" s="2" t="s">
        <x:v>85</x:v>
      </x:c>
      <x:c r="F11" s="2" t="s">
        <x:v>86</x:v>
      </x:c>
      <x:c r="G11" s="2" t="s">
        <x:v>87</x:v>
      </x:c>
      <x:c r="H11" s="2" t="s">
        <x:v>88</x:v>
      </x:c>
      <x:c r="I11" s="2" t="s">
        <x:v>89</x:v>
      </x:c>
      <x:c r="J11" s="2" t="s">
        <x:v>90</x:v>
      </x:c>
      <x:c r="K11" s="2" t="s">
        <x:v>91</x:v>
      </x:c>
      <x:c r="L11" s="2" t="s">
        <x:v>67</x:v>
      </x:c>
      <x:c r="M11" s="23" t="str">
        <x:v>Research</x:v>
      </x:c>
      <x:c r="N11" s="23" t="str">
        <x:v>OPEN</x:v>
      </x:c>
      <x:c r="O11" s="23" t="str">
        <x:f t="shared" si="1"/>
        <x:v>Added at launch – no notification</x:v>
      </x:c>
      <x:c r="P11" s="31" t="str">
        <x:f t="shared" si="2">IF(O11&lt;&gt;"Yes","","New funding opportunity added: "&amp;D11)</x:f>
      </x:c>
      <x:c r="Q11" s="32" t="str">
        <x:f t="shared" si="3">IF(O11&lt;&gt;"Yes","","Hello,"&amp;CHAR(10)&amp;CHAR(10)&amp;"A new funding opportunity has been added to the Funding Finder for Statistics."&amp;CHAR(10)&amp;CHAR(10)&amp;D11&amp;CHAR(10)&amp;CHAR(10)&amp;"Funder: "&amp;C11&amp;CHAR(10)&amp;"Deadline: "&amp;IF(ISNUMBER(B11),TEXT(B11,"d mmmm yyyy"),B11)&amp;CHAR(10)&amp;"Funding and duration: "&amp;F11&amp;CHAR(10)&amp;CHAR(10)&amp;"Who can apply:"&amp;CHAR(10)&amp;G11&amp;CHAR(10)&amp;CHAR(10)&amp;"Why it may be relevant to Statistics:"&amp;CHAR(10)&amp;H11&amp;CHAR(10)&amp;CHAR(10)&amp;"Themes: "&amp;I11&amp;CHAR(10)&amp;CHAR(10)&amp;"Official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1" s="32" t="str">
        <x:f t="shared" si="4">IF(O11&lt;&gt;"Yes","",HYPERLINK(K11,"View official opportunity"))</x:f>
      </x:c>
      <x:c r="S11" s="32" t="str">
        <x:f>IF(O11&lt;&gt;"Yes","",HYPERLINK("https://uofgstats.github.io/research-and-scholarship/","Open Funding Finder"))</x:f>
      </x:c>
      <x:c r="T11" s="38"/>
    </x:row>
    <x:row r="12" ht="30">
      <x:c r="A12" s="19" t="str">
        <x:f t="shared" ca="1" si="0">IF(AND(ISNUMBER(B12),B12&lt;TODAY()),"DEADLINE PASSED",N12)</x:f>
        <x:v>OPEN</x:v>
      </x:c>
      <x:c r="B12" s="3">
        <x:v>46316</x:v>
      </x:c>
      <x:c r="C12" s="2" t="s">
        <x:v>67</x:v>
      </x:c>
      <x:c r="D12" s="2" t="s">
        <x:v>92</x:v>
      </x:c>
      <x:c r="E12" s="2" t="s">
        <x:v>93</x:v>
      </x:c>
      <x:c r="F12" s="2" t="s">
        <x:v>94</x:v>
      </x:c>
      <x:c r="G12" s="2" t="s">
        <x:v>95</x:v>
      </x:c>
      <x:c r="H12" s="2" t="s">
        <x:v>96</x:v>
      </x:c>
      <x:c r="I12" s="2" t="s">
        <x:v>97</x:v>
      </x:c>
      <x:c r="J12" s="2" t="s">
        <x:v>98</x:v>
      </x:c>
      <x:c r="K12" s="2" t="s">
        <x:v>99</x:v>
      </x:c>
      <x:c r="L12" s="2" t="s">
        <x:v>67</x:v>
      </x:c>
      <x:c r="M12" s="23" t="str">
        <x:v>Research</x:v>
      </x:c>
      <x:c r="N12" s="23" t="str">
        <x:v>OPEN</x:v>
      </x:c>
      <x:c r="O12" s="23" t="str">
        <x:f t="shared" si="1"/>
        <x:v>Added at launch – no notification</x:v>
      </x:c>
      <x:c r="P12" s="31" t="str">
        <x:f t="shared" si="2">IF(O12&lt;&gt;"Yes","","New funding opportunity added: "&amp;D12)</x:f>
      </x:c>
      <x:c r="Q12" s="32" t="str">
        <x:f t="shared" si="3">IF(O12&lt;&gt;"Yes","","Hello,"&amp;CHAR(10)&amp;CHAR(10)&amp;"A new funding opportunity has been added to the Funding Finder for Statistics."&amp;CHAR(10)&amp;CHAR(10)&amp;D12&amp;CHAR(10)&amp;CHAR(10)&amp;"Funder: "&amp;C12&amp;CHAR(10)&amp;"Deadline: "&amp;IF(ISNUMBER(B12),TEXT(B12,"d mmmm yyyy"),B12)&amp;CHAR(10)&amp;"Funding and duration: "&amp;F12&amp;CHAR(10)&amp;CHAR(10)&amp;"Who can apply:"&amp;CHAR(10)&amp;G12&amp;CHAR(10)&amp;CHAR(10)&amp;"Why it may be relevant to Statistics:"&amp;CHAR(10)&amp;H12&amp;CHAR(10)&amp;CHAR(10)&amp;"Themes: "&amp;I12&amp;CHAR(10)&amp;CHAR(10)&amp;"Official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2" s="32" t="str">
        <x:f t="shared" si="4">IF(O12&lt;&gt;"Yes","",HYPERLINK(K12,"View official opportunity"))</x:f>
      </x:c>
      <x:c r="S12" s="32" t="str">
        <x:f>IF(O12&lt;&gt;"Yes","",HYPERLINK("https://uofgstats.github.io/research-and-scholarship/","Open Funding Finder"))</x:f>
      </x:c>
      <x:c r="T12" s="38"/>
    </x:row>
    <x:row r="13" ht="30">
      <x:c r="A13" s="19" t="str">
        <x:f t="shared" ca="1" si="0">IF(AND(ISNUMBER(B13),B13&lt;TODAY()),"DEADLINE PASSED",N13)</x:f>
        <x:v>OPEN</x:v>
      </x:c>
      <x:c r="B13" s="3">
        <x:v>46316</x:v>
      </x:c>
      <x:c r="C13" s="2" t="s">
        <x:v>67</x:v>
      </x:c>
      <x:c r="D13" s="2" t="s">
        <x:v>100</x:v>
      </x:c>
      <x:c r="E13" s="2" t="s">
        <x:v>101</x:v>
      </x:c>
      <x:c r="F13" s="2" t="s">
        <x:v>102</x:v>
      </x:c>
      <x:c r="G13" s="2" t="s">
        <x:v>103</x:v>
      </x:c>
      <x:c r="H13" s="2" t="s">
        <x:v>104</x:v>
      </x:c>
      <x:c r="I13" s="2" t="s">
        <x:v>105</x:v>
      </x:c>
      <x:c r="J13" s="2" t="s">
        <x:v>106</x:v>
      </x:c>
      <x:c r="K13" s="2" t="s">
        <x:v>107</x:v>
      </x:c>
      <x:c r="L13" s="2" t="s">
        <x:v>67</x:v>
      </x:c>
      <x:c r="M13" s="23" t="str">
        <x:v>Research</x:v>
      </x:c>
      <x:c r="N13" s="23" t="str">
        <x:v>OPEN</x:v>
      </x:c>
      <x:c r="O13" s="23" t="str">
        <x:f t="shared" si="1"/>
        <x:v>Added at launch – no notification</x:v>
      </x:c>
      <x:c r="P13" s="31" t="str">
        <x:f t="shared" si="2">IF(O13&lt;&gt;"Yes","","New funding opportunity added: "&amp;D13)</x:f>
      </x:c>
      <x:c r="Q13" s="32" t="str">
        <x:f t="shared" si="3">IF(O13&lt;&gt;"Yes","","Hello,"&amp;CHAR(10)&amp;CHAR(10)&amp;"A new funding opportunity has been added to the Funding Finder for Statistics."&amp;CHAR(10)&amp;CHAR(10)&amp;D13&amp;CHAR(10)&amp;CHAR(10)&amp;"Funder: "&amp;C13&amp;CHAR(10)&amp;"Deadline: "&amp;IF(ISNUMBER(B13),TEXT(B13,"d mmmm yyyy"),B13)&amp;CHAR(10)&amp;"Funding and duration: "&amp;F13&amp;CHAR(10)&amp;CHAR(10)&amp;"Who can apply:"&amp;CHAR(10)&amp;G13&amp;CHAR(10)&amp;CHAR(10)&amp;"Why it may be relevant to Statistics:"&amp;CHAR(10)&amp;H13&amp;CHAR(10)&amp;CHAR(10)&amp;"Themes: "&amp;I13&amp;CHAR(10)&amp;CHAR(10)&amp;"Official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3" s="32" t="str">
        <x:f t="shared" si="4">IF(O13&lt;&gt;"Yes","",HYPERLINK(K13,"View official opportunity"))</x:f>
      </x:c>
      <x:c r="S13" s="32" t="str">
        <x:f>IF(O13&lt;&gt;"Yes","",HYPERLINK("https://uofgstats.github.io/research-and-scholarship/","Open Funding Finder"))</x:f>
      </x:c>
      <x:c r="T13" s="38"/>
    </x:row>
    <x:row r="14" ht="45">
      <x:c r="A14" s="19" t="str">
        <x:f t="shared" ca="1" si="0">IF(AND(ISNUMBER(B14),B14&lt;TODAY()),"DEADLINE PASSED",N14)</x:f>
        <x:v>OPEN</x:v>
      </x:c>
      <x:c r="B14" s="3">
        <x:v>46316</x:v>
      </x:c>
      <x:c r="C14" s="2" t="s">
        <x:v>67</x:v>
      </x:c>
      <x:c r="D14" s="2" t="s">
        <x:v>108</x:v>
      </x:c>
      <x:c r="E14" s="2" t="s">
        <x:v>93</x:v>
      </x:c>
      <x:c r="F14" s="2" t="s">
        <x:v>109</x:v>
      </x:c>
      <x:c r="G14" s="2" t="s">
        <x:v>110</x:v>
      </x:c>
      <x:c r="H14" s="2" t="s">
        <x:v>111</x:v>
      </x:c>
      <x:c r="I14" s="2" t="s">
        <x:v>112</x:v>
      </x:c>
      <x:c r="J14" s="2" t="s">
        <x:v>113</x:v>
      </x:c>
      <x:c r="K14" s="2" t="s">
        <x:v>114</x:v>
      </x:c>
      <x:c r="L14" s="2" t="s">
        <x:v>67</x:v>
      </x:c>
      <x:c r="M14" s="23" t="str">
        <x:v>Research</x:v>
      </x:c>
      <x:c r="N14" s="23" t="str">
        <x:v>OPEN</x:v>
      </x:c>
      <x:c r="O14" s="23" t="str">
        <x:f t="shared" si="1"/>
        <x:v>Added at launch – no notification</x:v>
      </x:c>
      <x:c r="P14" s="31" t="str">
        <x:f t="shared" si="2">IF(O14&lt;&gt;"Yes","","New funding opportunity added: "&amp;D14)</x:f>
      </x:c>
      <x:c r="Q14" s="32" t="str">
        <x:f t="shared" si="3">IF(O14&lt;&gt;"Yes","","Hello,"&amp;CHAR(10)&amp;CHAR(10)&amp;"A new funding opportunity has been added to the Funding Finder for Statistics."&amp;CHAR(10)&amp;CHAR(10)&amp;D14&amp;CHAR(10)&amp;CHAR(10)&amp;"Funder: "&amp;C14&amp;CHAR(10)&amp;"Deadline: "&amp;IF(ISNUMBER(B14),TEXT(B14,"d mmmm yyyy"),B14)&amp;CHAR(10)&amp;"Funding and duration: "&amp;F14&amp;CHAR(10)&amp;CHAR(10)&amp;"Who can apply:"&amp;CHAR(10)&amp;G14&amp;CHAR(10)&amp;CHAR(10)&amp;"Why it may be relevant to Statistics:"&amp;CHAR(10)&amp;H14&amp;CHAR(10)&amp;CHAR(10)&amp;"Themes: "&amp;I14&amp;CHAR(10)&amp;CHAR(10)&amp;"Official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4" s="32" t="str">
        <x:f t="shared" si="4">IF(O14&lt;&gt;"Yes","",HYPERLINK(K14,"View official opportunity"))</x:f>
      </x:c>
      <x:c r="S14" s="32" t="str">
        <x:f>IF(O14&lt;&gt;"Yes","",HYPERLINK("https://uofgstats.github.io/research-and-scholarship/","Open Funding Finder"))</x:f>
      </x:c>
      <x:c r="T14" s="38"/>
    </x:row>
    <x:row r="15" ht="45">
      <x:c r="A15" s="19" t="str">
        <x:f t="shared" ca="1" si="0">IF(AND(ISNUMBER(B15),B15&lt;TODAY()),"DEADLINE PASSED",N15)</x:f>
        <x:v>OPEN</x:v>
      </x:c>
      <x:c r="B15" s="3">
        <x:v>46323</x:v>
      </x:c>
      <x:c r="C15" s="2" t="s">
        <x:v>115</x:v>
      </x:c>
      <x:c r="D15" s="2" t="s">
        <x:v>116</x:v>
      </x:c>
      <x:c r="E15" s="2" t="s">
        <x:v>117</x:v>
      </x:c>
      <x:c r="F15" s="2" t="s">
        <x:v>118</x:v>
      </x:c>
      <x:c r="G15" s="2" t="s">
        <x:v>119</x:v>
      </x:c>
      <x:c r="H15" s="2" t="s">
        <x:v>120</x:v>
      </x:c>
      <x:c r="I15" s="2" t="s">
        <x:v>121</x:v>
      </x:c>
      <x:c r="J15" s="2" t="s">
        <x:v>122</x:v>
      </x:c>
      <x:c r="K15" s="2" t="s">
        <x:v>123</x:v>
      </x:c>
      <x:c r="L15" s="2" t="s">
        <x:v>124</x:v>
      </x:c>
      <x:c r="M15" s="23" t="str">
        <x:v>Research</x:v>
      </x:c>
      <x:c r="N15" s="23" t="str">
        <x:v>OPEN</x:v>
      </x:c>
      <x:c r="O15" s="23" t="str">
        <x:f t="shared" si="1"/>
        <x:v>Added at launch – no notification</x:v>
      </x:c>
      <x:c r="P15" s="31" t="str">
        <x:f t="shared" si="2">IF(O15&lt;&gt;"Yes","","New funding opportunity added: "&amp;D15)</x:f>
      </x:c>
      <x:c r="Q15" s="32" t="str">
        <x:f t="shared" si="3">IF(O15&lt;&gt;"Yes","","Hello,"&amp;CHAR(10)&amp;CHAR(10)&amp;"A new funding opportunity has been added to the Funding Finder for Statistics."&amp;CHAR(10)&amp;CHAR(10)&amp;D15&amp;CHAR(10)&amp;CHAR(10)&amp;"Funder: "&amp;C15&amp;CHAR(10)&amp;"Deadline: "&amp;IF(ISNUMBER(B15),TEXT(B15,"d mmmm yyyy"),B15)&amp;CHAR(10)&amp;"Funding and duration: "&amp;F15&amp;CHAR(10)&amp;CHAR(10)&amp;"Who can apply:"&amp;CHAR(10)&amp;G15&amp;CHAR(10)&amp;CHAR(10)&amp;"Why it may be relevant to Statistics:"&amp;CHAR(10)&amp;H15&amp;CHAR(10)&amp;CHAR(10)&amp;"Themes: "&amp;I15&amp;CHAR(10)&amp;CHAR(10)&amp;"Official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5" s="32" t="str">
        <x:f t="shared" si="4">IF(O15&lt;&gt;"Yes","",HYPERLINK(K15,"View official opportunity"))</x:f>
      </x:c>
      <x:c r="S15" s="32" t="str">
        <x:f>IF(O15&lt;&gt;"Yes","",HYPERLINK("https://uofgstats.github.io/research-and-scholarship/","Open Funding Finder"))</x:f>
      </x:c>
      <x:c r="T15" s="38"/>
    </x:row>
    <x:row r="16" ht="30">
      <x:c r="A16" s="19" t="str">
        <x:f t="shared" ca="1" si="0">IF(AND(ISNUMBER(B16),B16&lt;TODAY()),"DEADLINE PASSED",N16)</x:f>
        <x:v>OPEN</x:v>
      </x:c>
      <x:c r="B16" s="3">
        <x:v>46328</x:v>
      </x:c>
      <x:c r="C16" s="2" t="s">
        <x:v>125</x:v>
      </x:c>
      <x:c r="D16" s="2" t="s">
        <x:v>126</x:v>
      </x:c>
      <x:c r="E16" s="2" t="s">
        <x:v>127</x:v>
      </x:c>
      <x:c r="F16" s="2" t="s">
        <x:v>128</x:v>
      </x:c>
      <x:c r="G16" s="2" t="s">
        <x:v>129</x:v>
      </x:c>
      <x:c r="H16" s="2" t="s">
        <x:v>130</x:v>
      </x:c>
      <x:c r="I16" s="2" t="s">
        <x:v>131</x:v>
      </x:c>
      <x:c r="J16" s="2" t="s">
        <x:v>132</x:v>
      </x:c>
      <x:c r="K16" s="2" t="s">
        <x:v>133</x:v>
      </x:c>
      <x:c r="L16" s="2" t="s">
        <x:v>67</x:v>
      </x:c>
      <x:c r="M16" s="23" t="str">
        <x:v>Research</x:v>
      </x:c>
      <x:c r="N16" s="23" t="str">
        <x:v>OPEN</x:v>
      </x:c>
      <x:c r="O16" s="23" t="str">
        <x:f t="shared" si="1"/>
        <x:v>Added at launch – no notification</x:v>
      </x:c>
      <x:c r="P16" s="31" t="str">
        <x:f t="shared" si="2">IF(O16&lt;&gt;"Yes","","New funding opportunity added: "&amp;D16)</x:f>
      </x:c>
      <x:c r="Q16" s="32" t="str">
        <x:f t="shared" si="3">IF(O16&lt;&gt;"Yes","","Hello,"&amp;CHAR(10)&amp;CHAR(10)&amp;"A new funding opportunity has been added to the Funding Finder for Statistics."&amp;CHAR(10)&amp;CHAR(10)&amp;D16&amp;CHAR(10)&amp;CHAR(10)&amp;"Funder: "&amp;C16&amp;CHAR(10)&amp;"Deadline: "&amp;IF(ISNUMBER(B16),TEXT(B16,"d mmmm yyyy"),B16)&amp;CHAR(10)&amp;"Funding and duration: "&amp;F16&amp;CHAR(10)&amp;CHAR(10)&amp;"Who can apply:"&amp;CHAR(10)&amp;G16&amp;CHAR(10)&amp;CHAR(10)&amp;"Why it may be relevant to Statistics:"&amp;CHAR(10)&amp;H16&amp;CHAR(10)&amp;CHAR(10)&amp;"Themes: "&amp;I16&amp;CHAR(10)&amp;CHAR(10)&amp;"Official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6" s="32" t="str">
        <x:f t="shared" si="4">IF(O16&lt;&gt;"Yes","",HYPERLINK(K16,"View official opportunity"))</x:f>
      </x:c>
      <x:c r="S16" s="32" t="str">
        <x:f>IF(O16&lt;&gt;"Yes","",HYPERLINK("https://uofgstats.github.io/research-and-scholarship/","Open Funding Finder"))</x:f>
      </x:c>
      <x:c r="T16" s="38"/>
    </x:row>
    <x:row r="17" ht="30">
      <x:c r="A17" s="19" t="str">
        <x:f t="shared" ca="1" si="0">IF(AND(ISNUMBER(B17),B17&lt;TODAY()),"DEADLINE PASSED",N17)</x:f>
        <x:v>OPEN</x:v>
      </x:c>
      <x:c r="B17" s="3">
        <x:v>46336</x:v>
      </x:c>
      <x:c r="C17" s="2" t="s">
        <x:v>134</x:v>
      </x:c>
      <x:c r="D17" s="2" t="s">
        <x:v>135</x:v>
      </x:c>
      <x:c r="E17" s="2" t="s">
        <x:v>85</x:v>
      </x:c>
      <x:c r="F17" s="2" t="s">
        <x:v>136</x:v>
      </x:c>
      <x:c r="G17" s="2" t="s">
        <x:v>137</x:v>
      </x:c>
      <x:c r="H17" s="2" t="s">
        <x:v>138</x:v>
      </x:c>
      <x:c r="I17" s="2" t="s">
        <x:v>139</x:v>
      </x:c>
      <x:c r="J17" s="2" t="s">
        <x:v>140</x:v>
      </x:c>
      <x:c r="K17" s="2" t="s">
        <x:v>141</x:v>
      </x:c>
      <x:c r="L17" s="2" t="s">
        <x:v>124</x:v>
      </x:c>
      <x:c r="M17" s="23" t="str">
        <x:v>Research</x:v>
      </x:c>
      <x:c r="N17" s="23" t="str">
        <x:v>OPEN</x:v>
      </x:c>
      <x:c r="O17" s="23" t="str">
        <x:f t="shared" si="1"/>
        <x:v>Added at launch – no notification</x:v>
      </x:c>
      <x:c r="P17" s="31" t="str">
        <x:f t="shared" si="2">IF(O17&lt;&gt;"Yes","","New funding opportunity added: "&amp;D17)</x:f>
      </x:c>
      <x:c r="Q17" s="32" t="str">
        <x:f t="shared" si="3">IF(O17&lt;&gt;"Yes","","Hello,"&amp;CHAR(10)&amp;CHAR(10)&amp;"A new funding opportunity has been added to the Funding Finder for Statistics."&amp;CHAR(10)&amp;CHAR(10)&amp;D17&amp;CHAR(10)&amp;CHAR(10)&amp;"Funder: "&amp;C17&amp;CHAR(10)&amp;"Deadline: "&amp;IF(ISNUMBER(B17),TEXT(B17,"d mmmm yyyy"),B17)&amp;CHAR(10)&amp;"Funding and duration: "&amp;F17&amp;CHAR(10)&amp;CHAR(10)&amp;"Who can apply:"&amp;CHAR(10)&amp;G17&amp;CHAR(10)&amp;CHAR(10)&amp;"Why it may be relevant to Statistics:"&amp;CHAR(10)&amp;H17&amp;CHAR(10)&amp;CHAR(10)&amp;"Themes: "&amp;I17&amp;CHAR(10)&amp;CHAR(10)&amp;"Official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7" s="32" t="str">
        <x:f t="shared" si="4">IF(O17&lt;&gt;"Yes","",HYPERLINK(K17,"View official opportunity"))</x:f>
      </x:c>
      <x:c r="S17" s="32" t="str">
        <x:f>IF(O17&lt;&gt;"Yes","",HYPERLINK("https://uofgstats.github.io/research-and-scholarship/","Open Funding Finder"))</x:f>
      </x:c>
      <x:c r="T17" s="38"/>
    </x:row>
    <x:row r="18" ht="45">
      <x:c r="A18" s="19" t="str">
        <x:f t="shared" ca="1" si="0">IF(AND(ISNUMBER(B18),B18&lt;TODAY()),"DEADLINE PASSED",N18)</x:f>
        <x:v>OPEN</x:v>
      </x:c>
      <x:c r="B18" s="3">
        <x:v>46338</x:v>
      </x:c>
      <x:c r="C18" s="2" t="s">
        <x:v>142</x:v>
      </x:c>
      <x:c r="D18" s="2" t="s">
        <x:v>143</x:v>
      </x:c>
      <x:c r="E18" s="2" t="s">
        <x:v>85</x:v>
      </x:c>
      <x:c r="F18" s="2" t="s">
        <x:v>144</x:v>
      </x:c>
      <x:c r="G18" s="2" t="s">
        <x:v>145</x:v>
      </x:c>
      <x:c r="H18" s="2" t="s">
        <x:v>146</x:v>
      </x:c>
      <x:c r="I18" s="2" t="s">
        <x:v>147</x:v>
      </x:c>
      <x:c r="J18" s="2" t="s">
        <x:v>148</x:v>
      </x:c>
      <x:c r="K18" s="2" t="s">
        <x:v>149</x:v>
      </x:c>
      <x:c r="L18" s="2" t="s">
        <x:v>124</x:v>
      </x:c>
      <x:c r="M18" s="23" t="str">
        <x:v>Research</x:v>
      </x:c>
      <x:c r="N18" s="23" t="str">
        <x:v>OPEN</x:v>
      </x:c>
      <x:c r="O18" s="23" t="str">
        <x:f t="shared" si="1"/>
        <x:v>Added at launch – no notification</x:v>
      </x:c>
      <x:c r="P18" s="31" t="str">
        <x:f t="shared" si="2">IF(O18&lt;&gt;"Yes","","New funding opportunity added: "&amp;D18)</x:f>
      </x:c>
      <x:c r="Q18" s="32" t="str">
        <x:f t="shared" si="3">IF(O18&lt;&gt;"Yes","","Hello,"&amp;CHAR(10)&amp;CHAR(10)&amp;"A new funding opportunity has been added to the Funding Finder for Statistics."&amp;CHAR(10)&amp;CHAR(10)&amp;D18&amp;CHAR(10)&amp;CHAR(10)&amp;"Funder: "&amp;C18&amp;CHAR(10)&amp;"Deadline: "&amp;IF(ISNUMBER(B18),TEXT(B18,"d mmmm yyyy"),B18)&amp;CHAR(10)&amp;"Funding and duration: "&amp;F18&amp;CHAR(10)&amp;CHAR(10)&amp;"Who can apply:"&amp;CHAR(10)&amp;G18&amp;CHAR(10)&amp;CHAR(10)&amp;"Why it may be relevant to Statistics:"&amp;CHAR(10)&amp;H18&amp;CHAR(10)&amp;CHAR(10)&amp;"Themes: "&amp;I18&amp;CHAR(10)&amp;CHAR(10)&amp;"Official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8" s="32" t="str">
        <x:f t="shared" si="4">IF(O18&lt;&gt;"Yes","",HYPERLINK(K18,"View official opportunity"))</x:f>
      </x:c>
      <x:c r="S18" s="32" t="str">
        <x:f>IF(O18&lt;&gt;"Yes","",HYPERLINK("https://uofgstats.github.io/research-and-scholarship/","Open Funding Finder"))</x:f>
      </x:c>
      <x:c r="T18" s="38"/>
    </x:row>
    <x:row r="19" ht="30">
      <x:c r="A19" s="19" t="str">
        <x:f t="shared" ca="1" si="0">IF(AND(ISNUMBER(B19),B19&lt;TODAY()),"DEADLINE PASSED",N19)</x:f>
        <x:v>OPEN</x:v>
      </x:c>
      <x:c r="B19" s="3">
        <x:v>46356</x:v>
      </x:c>
      <x:c r="C19" s="2" t="s">
        <x:v>12</x:v>
      </x:c>
      <x:c r="D19" s="2" t="s">
        <x:v>150</x:v>
      </x:c>
      <x:c r="E19" s="2" t="s">
        <x:v>151</x:v>
      </x:c>
      <x:c r="F19" s="2" t="s">
        <x:v>152</x:v>
      </x:c>
      <x:c r="G19" s="2" t="s">
        <x:v>153</x:v>
      </x:c>
      <x:c r="H19" s="2" t="s">
        <x:v>154</x:v>
      </x:c>
      <x:c r="I19" s="2" t="s">
        <x:v>155</x:v>
      </x:c>
      <x:c r="J19" s="2" t="s">
        <x:v>156</x:v>
      </x:c>
      <x:c r="K19" s="2" t="s">
        <x:v>157</x:v>
      </x:c>
      <x:c r="L19" s="2" t="s">
        <x:v>12</x:v>
      </x:c>
      <x:c r="M19" s="23" t="str">
        <x:v>Research</x:v>
      </x:c>
      <x:c r="N19" s="23" t="str">
        <x:v>OPEN</x:v>
      </x:c>
      <x:c r="O19" s="23" t="str">
        <x:f t="shared" si="1"/>
        <x:v>Added at launch – no notification</x:v>
      </x:c>
      <x:c r="P19" s="31" t="str">
        <x:f t="shared" si="2">IF(O19&lt;&gt;"Yes","","New funding opportunity added: "&amp;D19)</x:f>
      </x:c>
      <x:c r="Q19" s="32" t="str">
        <x:f t="shared" si="3">IF(O19&lt;&gt;"Yes","","Hello,"&amp;CHAR(10)&amp;CHAR(10)&amp;"A new funding opportunity has been added to the Funding Finder for Statistics."&amp;CHAR(10)&amp;CHAR(10)&amp;D19&amp;CHAR(10)&amp;CHAR(10)&amp;"Funder: "&amp;C19&amp;CHAR(10)&amp;"Deadline: "&amp;IF(ISNUMBER(B19),TEXT(B19,"d mmmm yyyy"),B19)&amp;CHAR(10)&amp;"Funding and duration: "&amp;F19&amp;CHAR(10)&amp;CHAR(10)&amp;"Who can apply:"&amp;CHAR(10)&amp;G19&amp;CHAR(10)&amp;CHAR(10)&amp;"Why it may be relevant to Statistics:"&amp;CHAR(10)&amp;H19&amp;CHAR(10)&amp;CHAR(10)&amp;"Themes: "&amp;I19&amp;CHAR(10)&amp;CHAR(10)&amp;"Official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9" s="32" t="str">
        <x:f t="shared" si="4">IF(O19&lt;&gt;"Yes","",HYPERLINK(K19,"View official opportunity"))</x:f>
      </x:c>
      <x:c r="S19" s="32" t="str">
        <x:f>IF(O19&lt;&gt;"Yes","",HYPERLINK("https://uofgstats.github.io/research-and-scholarship/","Open Funding Finder"))</x:f>
      </x:c>
      <x:c r="T19" s="38"/>
    </x:row>
    <x:row r="20" ht="45">
      <x:c r="A20" s="19" t="str">
        <x:f t="shared" ca="1" si="0">IF(AND(ISNUMBER(B20),B20&lt;TODAY()),"DEADLINE PASSED",N20)</x:f>
        <x:v>OPEN</x:v>
      </x:c>
      <x:c r="B20" s="3">
        <x:v>46357</x:v>
      </x:c>
      <x:c r="C20" s="2" t="s">
        <x:v>67</x:v>
      </x:c>
      <x:c r="D20" s="2" t="s">
        <x:v>158</x:v>
      </x:c>
      <x:c r="E20" s="2" t="s">
        <x:v>159</x:v>
      </x:c>
      <x:c r="F20" s="2" t="s">
        <x:v>160</x:v>
      </x:c>
      <x:c r="G20" s="2" t="s">
        <x:v>161</x:v>
      </x:c>
      <x:c r="H20" s="2" t="s">
        <x:v>162</x:v>
      </x:c>
      <x:c r="I20" s="2" t="s">
        <x:v>163</x:v>
      </x:c>
      <x:c r="J20" s="2" t="s">
        <x:v>164</x:v>
      </x:c>
      <x:c r="K20" s="2" t="s">
        <x:v>165</x:v>
      </x:c>
      <x:c r="L20" s="2" t="s">
        <x:v>67</x:v>
      </x:c>
      <x:c r="M20" s="23" t="str">
        <x:v>Research</x:v>
      </x:c>
      <x:c r="N20" s="23" t="str">
        <x:v>OPEN</x:v>
      </x:c>
      <x:c r="O20" s="23" t="str">
        <x:f t="shared" si="1"/>
        <x:v>Added at launch – no notification</x:v>
      </x:c>
      <x:c r="P20" s="31" t="str">
        <x:f t="shared" si="2">IF(O20&lt;&gt;"Yes","","New funding opportunity added: "&amp;D20)</x:f>
      </x:c>
      <x:c r="Q20" s="32" t="str">
        <x:f t="shared" si="3">IF(O20&lt;&gt;"Yes","","Hello,"&amp;CHAR(10)&amp;CHAR(10)&amp;"A new funding opportunity has been added to the Funding Finder for Statistics."&amp;CHAR(10)&amp;CHAR(10)&amp;D20&amp;CHAR(10)&amp;CHAR(10)&amp;"Funder: "&amp;C20&amp;CHAR(10)&amp;"Deadline: "&amp;IF(ISNUMBER(B20),TEXT(B20,"d mmmm yyyy"),B20)&amp;CHAR(10)&amp;"Funding and duration: "&amp;F20&amp;CHAR(10)&amp;CHAR(10)&amp;"Who can apply:"&amp;CHAR(10)&amp;G20&amp;CHAR(10)&amp;CHAR(10)&amp;"Why it may be relevant to Statistics:"&amp;CHAR(10)&amp;H20&amp;CHAR(10)&amp;CHAR(10)&amp;"Themes: "&amp;I20&amp;CHAR(10)&amp;CHAR(10)&amp;"Official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0" s="32" t="str">
        <x:f t="shared" si="4">IF(O20&lt;&gt;"Yes","",HYPERLINK(K20,"View official opportunity"))</x:f>
      </x:c>
      <x:c r="S20" s="32" t="str">
        <x:f>IF(O20&lt;&gt;"Yes","",HYPERLINK("https://uofgstats.github.io/research-and-scholarship/","Open Funding Finder"))</x:f>
      </x:c>
      <x:c r="T20" s="38"/>
    </x:row>
    <x:row r="21" ht="30">
      <x:c r="A21" s="19" t="str">
        <x:f t="shared" ca="1" si="0">IF(AND(ISNUMBER(B21),B21&lt;TODAY()),"DEADLINE PASSED",N21)</x:f>
        <x:v>OPEN</x:v>
      </x:c>
      <x:c r="B21" s="3">
        <x:v>46357</x:v>
      </x:c>
      <x:c r="C21" s="2" t="s">
        <x:v>67</x:v>
      </x:c>
      <x:c r="D21" s="2" t="s">
        <x:v>166</x:v>
      </x:c>
      <x:c r="E21" s="2" t="s">
        <x:v>167</x:v>
      </x:c>
      <x:c r="F21" s="2" t="s">
        <x:v>168</x:v>
      </x:c>
      <x:c r="G21" s="2" t="s">
        <x:v>169</x:v>
      </x:c>
      <x:c r="H21" s="2" t="s">
        <x:v>170</x:v>
      </x:c>
      <x:c r="I21" s="2" t="s">
        <x:v>171</x:v>
      </x:c>
      <x:c r="J21" s="2" t="s">
        <x:v>172</x:v>
      </x:c>
      <x:c r="K21" s="2" t="s">
        <x:v>165</x:v>
      </x:c>
      <x:c r="L21" s="2" t="s">
        <x:v>67</x:v>
      </x:c>
      <x:c r="M21" s="23" t="str">
        <x:v>Research</x:v>
      </x:c>
      <x:c r="N21" s="23" t="str">
        <x:v>OPEN</x:v>
      </x:c>
      <x:c r="O21" s="23" t="str">
        <x:f t="shared" si="1"/>
        <x:v>Added at launch – no notification</x:v>
      </x:c>
      <x:c r="P21" s="31" t="str">
        <x:f t="shared" si="2">IF(O21&lt;&gt;"Yes","","New funding opportunity added: "&amp;D21)</x:f>
      </x:c>
      <x:c r="Q21" s="32" t="str">
        <x:f t="shared" si="3">IF(O21&lt;&gt;"Yes","","Hello,"&amp;CHAR(10)&amp;CHAR(10)&amp;"A new funding opportunity has been added to the Funding Finder for Statistics."&amp;CHAR(10)&amp;CHAR(10)&amp;D21&amp;CHAR(10)&amp;CHAR(10)&amp;"Funder: "&amp;C21&amp;CHAR(10)&amp;"Deadline: "&amp;IF(ISNUMBER(B21),TEXT(B21,"d mmmm yyyy"),B21)&amp;CHAR(10)&amp;"Funding and duration: "&amp;F21&amp;CHAR(10)&amp;CHAR(10)&amp;"Who can apply:"&amp;CHAR(10)&amp;G21&amp;CHAR(10)&amp;CHAR(10)&amp;"Why it may be relevant to Statistics:"&amp;CHAR(10)&amp;H21&amp;CHAR(10)&amp;CHAR(10)&amp;"Themes: "&amp;I21&amp;CHAR(10)&amp;CHAR(10)&amp;"Official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1" s="32" t="str">
        <x:f t="shared" si="4">IF(O21&lt;&gt;"Yes","",HYPERLINK(K21,"View official opportunity"))</x:f>
      </x:c>
      <x:c r="S21" s="32" t="str">
        <x:f>IF(O21&lt;&gt;"Yes","",HYPERLINK("https://uofgstats.github.io/research-and-scholarship/","Open Funding Finder"))</x:f>
      </x:c>
      <x:c r="T21" s="38"/>
    </x:row>
    <x:row r="22" ht="30">
      <x:c r="A22" s="19" t="str">
        <x:f t="shared" ca="1" si="0">IF(AND(ISNUMBER(B22),B22&lt;TODAY()),"DEADLINE PASSED",N22)</x:f>
        <x:v>OPEN</x:v>
      </x:c>
      <x:c r="B22" s="3">
        <x:v>46409</x:v>
      </x:c>
      <x:c r="C22" s="2" t="s">
        <x:v>12</x:v>
      </x:c>
      <x:c r="D22" s="2" t="s">
        <x:v>173</x:v>
      </x:c>
      <x:c r="E22" s="2" t="s">
        <x:v>174</x:v>
      </x:c>
      <x:c r="F22" s="2" t="s">
        <x:v>175</x:v>
      </x:c>
      <x:c r="G22" s="2" t="s">
        <x:v>176</x:v>
      </x:c>
      <x:c r="H22" s="2" t="s">
        <x:v>177</x:v>
      </x:c>
      <x:c r="I22" s="2" t="s">
        <x:v>178</x:v>
      </x:c>
      <x:c r="J22" s="2" t="s">
        <x:v>179</x:v>
      </x:c>
      <x:c r="K22" s="2" t="s">
        <x:v>180</x:v>
      </x:c>
      <x:c r="L22" s="2" t="s">
        <x:v>12</x:v>
      </x:c>
      <x:c r="M22" s="23" t="str">
        <x:v>Research</x:v>
      </x:c>
      <x:c r="N22" s="23" t="str">
        <x:v>OPEN</x:v>
      </x:c>
      <x:c r="O22" s="23" t="str">
        <x:f t="shared" si="1"/>
        <x:v>Added at launch – no notification</x:v>
      </x:c>
      <x:c r="P22" s="31" t="str">
        <x:f t="shared" si="2">IF(O22&lt;&gt;"Yes","","New funding opportunity added: "&amp;D22)</x:f>
      </x:c>
      <x:c r="Q22" s="32" t="str">
        <x:f t="shared" si="3">IF(O22&lt;&gt;"Yes","","Hello,"&amp;CHAR(10)&amp;CHAR(10)&amp;"A new funding opportunity has been added to the Funding Finder for Statistics."&amp;CHAR(10)&amp;CHAR(10)&amp;D22&amp;CHAR(10)&amp;CHAR(10)&amp;"Funder: "&amp;C22&amp;CHAR(10)&amp;"Deadline: "&amp;IF(ISNUMBER(B22),TEXT(B22,"d mmmm yyyy"),B22)&amp;CHAR(10)&amp;"Funding and duration: "&amp;F22&amp;CHAR(10)&amp;CHAR(10)&amp;"Who can apply:"&amp;CHAR(10)&amp;G22&amp;CHAR(10)&amp;CHAR(10)&amp;"Why it may be relevant to Statistics:"&amp;CHAR(10)&amp;H22&amp;CHAR(10)&amp;CHAR(10)&amp;"Themes: "&amp;I22&amp;CHAR(10)&amp;CHAR(10)&amp;"Official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2" s="32" t="str">
        <x:f t="shared" si="4">IF(O22&lt;&gt;"Yes","",HYPERLINK(K22,"View official opportunity"))</x:f>
      </x:c>
      <x:c r="S22" s="32" t="str">
        <x:f>IF(O22&lt;&gt;"Yes","",HYPERLINK("https://uofgstats.github.io/research-and-scholarship/","Open Funding Finder"))</x:f>
      </x:c>
      <x:c r="T22" s="38"/>
    </x:row>
    <x:row r="23" ht="30">
      <x:c r="A23" s="19" t="str">
        <x:f t="shared" ca="1" si="0">IF(AND(ISNUMBER(B23),B23&lt;TODAY()),"DEADLINE PASSED",N23)</x:f>
        <x:v>OPEN</x:v>
      </x:c>
      <x:c r="B23" s="3">
        <x:v>46409</x:v>
      </x:c>
      <x:c r="C23" s="2" t="s">
        <x:v>12</x:v>
      </x:c>
      <x:c r="D23" s="2" t="s">
        <x:v>181</x:v>
      </x:c>
      <x:c r="E23" s="2" t="s">
        <x:v>182</x:v>
      </x:c>
      <x:c r="F23" s="2" t="s">
        <x:v>183</x:v>
      </x:c>
      <x:c r="G23" s="2" t="s">
        <x:v>184</x:v>
      </x:c>
      <x:c r="H23" s="2" t="s">
        <x:v>185</x:v>
      </x:c>
      <x:c r="I23" s="2" t="s">
        <x:v>186</x:v>
      </x:c>
      <x:c r="J23" s="2" t="s">
        <x:v>179</x:v>
      </x:c>
      <x:c r="K23" s="2" t="s">
        <x:v>187</x:v>
      </x:c>
      <x:c r="L23" s="2" t="s">
        <x:v>12</x:v>
      </x:c>
      <x:c r="M23" s="23" t="str">
        <x:v>Research</x:v>
      </x:c>
      <x:c r="N23" s="23" t="str">
        <x:v>OPEN</x:v>
      </x:c>
      <x:c r="O23" s="23" t="str">
        <x:f t="shared" si="1"/>
        <x:v>Added at launch – no notification</x:v>
      </x:c>
      <x:c r="P23" s="31" t="str">
        <x:f t="shared" si="2">IF(O23&lt;&gt;"Yes","","New funding opportunity added: "&amp;D23)</x:f>
      </x:c>
      <x:c r="Q23" s="32" t="str">
        <x:f t="shared" si="3">IF(O23&lt;&gt;"Yes","","Hello,"&amp;CHAR(10)&amp;CHAR(10)&amp;"A new funding opportunity has been added to the Funding Finder for Statistics."&amp;CHAR(10)&amp;CHAR(10)&amp;D23&amp;CHAR(10)&amp;CHAR(10)&amp;"Funder: "&amp;C23&amp;CHAR(10)&amp;"Deadline: "&amp;IF(ISNUMBER(B23),TEXT(B23,"d mmmm yyyy"),B23)&amp;CHAR(10)&amp;"Funding and duration: "&amp;F23&amp;CHAR(10)&amp;CHAR(10)&amp;"Who can apply:"&amp;CHAR(10)&amp;G23&amp;CHAR(10)&amp;CHAR(10)&amp;"Why it may be relevant to Statistics:"&amp;CHAR(10)&amp;H23&amp;CHAR(10)&amp;CHAR(10)&amp;"Themes: "&amp;I23&amp;CHAR(10)&amp;CHAR(10)&amp;"Official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3" s="32" t="str">
        <x:f t="shared" si="4">IF(O23&lt;&gt;"Yes","",HYPERLINK(K23,"View official opportunity"))</x:f>
      </x:c>
      <x:c r="S23" s="32" t="str">
        <x:f>IF(O23&lt;&gt;"Yes","",HYPERLINK("https://uofgstats.github.io/research-and-scholarship/","Open Funding Finder"))</x:f>
      </x:c>
      <x:c r="T23" s="38"/>
    </x:row>
    <x:row r="24" ht="30">
      <x:c r="A24" s="19" t="str">
        <x:f t="shared" ca="1" si="0">IF(AND(ISNUMBER(B24),B24&lt;TODAY()),"DEADLINE PASSED",N24)</x:f>
        <x:v>OPEN</x:v>
      </x:c>
      <x:c r="B24" s="3">
        <x:v>46409</x:v>
      </x:c>
      <x:c r="C24" s="2" t="s">
        <x:v>12</x:v>
      </x:c>
      <x:c r="D24" s="2" t="s">
        <x:v>188</x:v>
      </x:c>
      <x:c r="E24" s="2" t="s">
        <x:v>189</x:v>
      </x:c>
      <x:c r="F24" s="2" t="s">
        <x:v>190</x:v>
      </x:c>
      <x:c r="G24" s="2" t="s">
        <x:v>191</x:v>
      </x:c>
      <x:c r="H24" s="2" t="s">
        <x:v>192</x:v>
      </x:c>
      <x:c r="I24" s="2" t="s">
        <x:v>18</x:v>
      </x:c>
      <x:c r="J24" s="2" t="s">
        <x:v>179</x:v>
      </x:c>
      <x:c r="K24" s="2" t="s">
        <x:v>193</x:v>
      </x:c>
      <x:c r="L24" s="2" t="s">
        <x:v>12</x:v>
      </x:c>
      <x:c r="M24" s="23" t="str">
        <x:v>Research</x:v>
      </x:c>
      <x:c r="N24" s="23" t="str">
        <x:v>OPEN</x:v>
      </x:c>
      <x:c r="O24" s="23" t="str">
        <x:f t="shared" si="1"/>
        <x:v>Added at launch – no notification</x:v>
      </x:c>
      <x:c r="P24" s="31" t="str">
        <x:f t="shared" si="2">IF(O24&lt;&gt;"Yes","","New funding opportunity added: "&amp;D24)</x:f>
      </x:c>
      <x:c r="Q24" s="32" t="str">
        <x:f t="shared" si="3">IF(O24&lt;&gt;"Yes","","Hello,"&amp;CHAR(10)&amp;CHAR(10)&amp;"A new funding opportunity has been added to the Funding Finder for Statistics."&amp;CHAR(10)&amp;CHAR(10)&amp;D24&amp;CHAR(10)&amp;CHAR(10)&amp;"Funder: "&amp;C24&amp;CHAR(10)&amp;"Deadline: "&amp;IF(ISNUMBER(B24),TEXT(B24,"d mmmm yyyy"),B24)&amp;CHAR(10)&amp;"Funding and duration: "&amp;F24&amp;CHAR(10)&amp;CHAR(10)&amp;"Who can apply:"&amp;CHAR(10)&amp;G24&amp;CHAR(10)&amp;CHAR(10)&amp;"Why it may be relevant to Statistics:"&amp;CHAR(10)&amp;H24&amp;CHAR(10)&amp;CHAR(10)&amp;"Themes: "&amp;I24&amp;CHAR(10)&amp;CHAR(10)&amp;"Official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4" s="32" t="str">
        <x:f t="shared" si="4">IF(O24&lt;&gt;"Yes","",HYPERLINK(K24,"View official opportunity"))</x:f>
      </x:c>
      <x:c r="S24" s="32" t="str">
        <x:f>IF(O24&lt;&gt;"Yes","",HYPERLINK("https://uofgstats.github.io/research-and-scholarship/","Open Funding Finder"))</x:f>
      </x:c>
      <x:c r="T24" s="38"/>
    </x:row>
    <x:row r="25" ht="30">
      <x:c r="A25" s="19" t="str">
        <x:f t="shared" ca="1" si="0">IF(AND(ISNUMBER(B25),B25&lt;TODAY()),"DEADLINE PASSED",N25)</x:f>
        <x:v>OPEN</x:v>
      </x:c>
      <x:c r="B25" s="3">
        <x:v>46409</x:v>
      </x:c>
      <x:c r="C25" s="2" t="s">
        <x:v>12</x:v>
      </x:c>
      <x:c r="D25" s="2" t="s">
        <x:v>194</x:v>
      </x:c>
      <x:c r="E25" s="2" t="s">
        <x:v>93</x:v>
      </x:c>
      <x:c r="F25" s="2" t="s">
        <x:v>195</x:v>
      </x:c>
      <x:c r="G25" s="2" t="s">
        <x:v>196</x:v>
      </x:c>
      <x:c r="H25" s="2" t="s">
        <x:v>197</x:v>
      </x:c>
      <x:c r="I25" s="2" t="s">
        <x:v>198</x:v>
      </x:c>
      <x:c r="J25" s="2" t="s">
        <x:v>179</x:v>
      </x:c>
      <x:c r="K25" s="2" t="s">
        <x:v>20</x:v>
      </x:c>
      <x:c r="L25" s="2" t="s">
        <x:v>12</x:v>
      </x:c>
      <x:c r="M25" s="23" t="str">
        <x:v>Research</x:v>
      </x:c>
      <x:c r="N25" s="23" t="str">
        <x:v>OPEN</x:v>
      </x:c>
      <x:c r="O25" s="23" t="str">
        <x:f t="shared" si="1"/>
        <x:v>Added at launch – no notification</x:v>
      </x:c>
      <x:c r="P25" s="31" t="str">
        <x:f t="shared" si="2">IF(O25&lt;&gt;"Yes","","New funding opportunity added: "&amp;D25)</x:f>
      </x:c>
      <x:c r="Q25" s="32" t="str">
        <x:f t="shared" si="3">IF(O25&lt;&gt;"Yes","","Hello,"&amp;CHAR(10)&amp;CHAR(10)&amp;"A new funding opportunity has been added to the Funding Finder for Statistics."&amp;CHAR(10)&amp;CHAR(10)&amp;D25&amp;CHAR(10)&amp;CHAR(10)&amp;"Funder: "&amp;C25&amp;CHAR(10)&amp;"Deadline: "&amp;IF(ISNUMBER(B25),TEXT(B25,"d mmmm yyyy"),B25)&amp;CHAR(10)&amp;"Funding and duration: "&amp;F25&amp;CHAR(10)&amp;CHAR(10)&amp;"Who can apply:"&amp;CHAR(10)&amp;G25&amp;CHAR(10)&amp;CHAR(10)&amp;"Why it may be relevant to Statistics:"&amp;CHAR(10)&amp;H25&amp;CHAR(10)&amp;CHAR(10)&amp;"Themes: "&amp;I25&amp;CHAR(10)&amp;CHAR(10)&amp;"Official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5" s="32" t="str">
        <x:f t="shared" si="4">IF(O25&lt;&gt;"Yes","",HYPERLINK(K25,"View official opportunity"))</x:f>
      </x:c>
      <x:c r="S25" s="32" t="str">
        <x:f>IF(O25&lt;&gt;"Yes","",HYPERLINK("https://uofgstats.github.io/research-and-scholarship/","Open Funding Finder"))</x:f>
      </x:c>
      <x:c r="T25" s="38"/>
    </x:row>
    <x:row r="26" ht="30">
      <x:c r="A26" s="19" t="str">
        <x:f t="shared" ca="1" si="0">IF(AND(ISNUMBER(B26),B26&lt;TODAY()),"DEADLINE PASSED",N26)</x:f>
        <x:v>OPEN</x:v>
      </x:c>
      <x:c r="B26" s="3">
        <x:v>46418</x:v>
      </x:c>
      <x:c r="C26" s="2" t="s">
        <x:v>12</x:v>
      </x:c>
      <x:c r="D26" s="2" t="s">
        <x:v>199</x:v>
      </x:c>
      <x:c r="E26" s="2" t="s">
        <x:v>200</x:v>
      </x:c>
      <x:c r="F26" s="2" t="s">
        <x:v>201</x:v>
      </x:c>
      <x:c r="G26" s="2" t="s">
        <x:v>202</x:v>
      </x:c>
      <x:c r="H26" s="2" t="s">
        <x:v>203</x:v>
      </x:c>
      <x:c r="I26" s="2" t="s">
        <x:v>198</x:v>
      </x:c>
      <x:c r="J26" s="2" t="s">
        <x:v>204</x:v>
      </x:c>
      <x:c r="K26" s="2" t="s">
        <x:v>20</x:v>
      </x:c>
      <x:c r="L26" s="2" t="s">
        <x:v>12</x:v>
      </x:c>
      <x:c r="M26" s="23" t="str">
        <x:v>Research</x:v>
      </x:c>
      <x:c r="N26" s="23" t="str">
        <x:v>OPEN</x:v>
      </x:c>
      <x:c r="O26" s="23" t="str">
        <x:f t="shared" si="1"/>
        <x:v>Added at launch – no notification</x:v>
      </x:c>
      <x:c r="P26" s="31" t="str">
        <x:f t="shared" si="2">IF(O26&lt;&gt;"Yes","","New funding opportunity added: "&amp;D26)</x:f>
      </x:c>
      <x:c r="Q26" s="32" t="str">
        <x:f t="shared" si="3">IF(O26&lt;&gt;"Yes","","Hello,"&amp;CHAR(10)&amp;CHAR(10)&amp;"A new funding opportunity has been added to the Funding Finder for Statistics."&amp;CHAR(10)&amp;CHAR(10)&amp;D26&amp;CHAR(10)&amp;CHAR(10)&amp;"Funder: "&amp;C26&amp;CHAR(10)&amp;"Deadline: "&amp;IF(ISNUMBER(B26),TEXT(B26,"d mmmm yyyy"),B26)&amp;CHAR(10)&amp;"Funding and duration: "&amp;F26&amp;CHAR(10)&amp;CHAR(10)&amp;"Who can apply:"&amp;CHAR(10)&amp;G26&amp;CHAR(10)&amp;CHAR(10)&amp;"Why it may be relevant to Statistics:"&amp;CHAR(10)&amp;H26&amp;CHAR(10)&amp;CHAR(10)&amp;"Themes: "&amp;I26&amp;CHAR(10)&amp;CHAR(10)&amp;"Official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6" s="32" t="str">
        <x:f t="shared" si="4">IF(O26&lt;&gt;"Yes","",HYPERLINK(K26,"View official opportunity"))</x:f>
      </x:c>
      <x:c r="S26" s="32" t="str">
        <x:f>IF(O26&lt;&gt;"Yes","",HYPERLINK("https://uofgstats.github.io/research-and-scholarship/","Open Funding Finder"))</x:f>
      </x:c>
      <x:c r="T26" s="38"/>
    </x:row>
    <x:row r="27" ht="30">
      <x:c r="A27" s="19" t="str">
        <x:f t="shared" ca="1" si="0">IF(AND(ISNUMBER(B27),B27&lt;TODAY()),"DEADLINE PASSED",N27)</x:f>
        <x:v>OPEN</x:v>
      </x:c>
      <x:c r="B27" s="3">
        <x:v>46419</x:v>
      </x:c>
      <x:c r="C27" s="2" t="s">
        <x:v>12</x:v>
      </x:c>
      <x:c r="D27" s="2" t="s">
        <x:v>205</x:v>
      </x:c>
      <x:c r="E27" s="2" t="s">
        <x:v>206</x:v>
      </x:c>
      <x:c r="F27" s="2" t="s">
        <x:v>207</x:v>
      </x:c>
      <x:c r="G27" s="2" t="s">
        <x:v>208</x:v>
      </x:c>
      <x:c r="H27" s="2" t="s">
        <x:v>209</x:v>
      </x:c>
      <x:c r="I27" s="2" t="s">
        <x:v>210</x:v>
      </x:c>
      <x:c r="J27" s="2" t="s">
        <x:v>211</x:v>
      </x:c>
      <x:c r="K27" s="2" t="s">
        <x:v>20</x:v>
      </x:c>
      <x:c r="L27" s="2" t="s">
        <x:v>12</x:v>
      </x:c>
      <x:c r="M27" s="23" t="str">
        <x:v>Research</x:v>
      </x:c>
      <x:c r="N27" s="23" t="str">
        <x:v>OPEN</x:v>
      </x:c>
      <x:c r="O27" s="23" t="str">
        <x:f t="shared" si="1"/>
        <x:v>Added at launch – no notification</x:v>
      </x:c>
      <x:c r="P27" s="31" t="str">
        <x:f t="shared" si="2">IF(O27&lt;&gt;"Yes","","New funding opportunity added: "&amp;D27)</x:f>
      </x:c>
      <x:c r="Q27" s="32" t="str">
        <x:f t="shared" si="3">IF(O27&lt;&gt;"Yes","","Hello,"&amp;CHAR(10)&amp;CHAR(10)&amp;"A new funding opportunity has been added to the Funding Finder for Statistics."&amp;CHAR(10)&amp;CHAR(10)&amp;D27&amp;CHAR(10)&amp;CHAR(10)&amp;"Funder: "&amp;C27&amp;CHAR(10)&amp;"Deadline: "&amp;IF(ISNUMBER(B27),TEXT(B27,"d mmmm yyyy"),B27)&amp;CHAR(10)&amp;"Funding and duration: "&amp;F27&amp;CHAR(10)&amp;CHAR(10)&amp;"Who can apply:"&amp;CHAR(10)&amp;G27&amp;CHAR(10)&amp;CHAR(10)&amp;"Why it may be relevant to Statistics:"&amp;CHAR(10)&amp;H27&amp;CHAR(10)&amp;CHAR(10)&amp;"Themes: "&amp;I27&amp;CHAR(10)&amp;CHAR(10)&amp;"Official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7" s="32" t="str">
        <x:f t="shared" si="4">IF(O27&lt;&gt;"Yes","",HYPERLINK(K27,"View official opportunity"))</x:f>
      </x:c>
      <x:c r="S27" s="32" t="str">
        <x:f>IF(O27&lt;&gt;"Yes","",HYPERLINK("https://uofgstats.github.io/research-and-scholarship/","Open Funding Finder"))</x:f>
      </x:c>
      <x:c r="T27" s="38"/>
    </x:row>
    <x:row r="28" ht="45">
      <x:c r="A28" s="19" t="str">
        <x:f t="shared" ca="1" si="0">IF(AND(ISNUMBER(B28),B28&lt;TODAY()),"DEADLINE PASSED",N28)</x:f>
        <x:v>OPEN</x:v>
      </x:c>
      <x:c r="B28" s="3" t="s">
        <x:v>212</x:v>
      </x:c>
      <x:c r="C28" s="2" t="s">
        <x:v>213</x:v>
      </x:c>
      <x:c r="D28" s="2" t="s">
        <x:v>214</x:v>
      </x:c>
      <x:c r="E28" s="2" t="s">
        <x:v>215</x:v>
      </x:c>
      <x:c r="F28" s="2" t="s">
        <x:v>216</x:v>
      </x:c>
      <x:c r="G28" s="2" t="s">
        <x:v>217</x:v>
      </x:c>
      <x:c r="H28" s="2" t="s">
        <x:v>218</x:v>
      </x:c>
      <x:c r="I28" s="2" t="s">
        <x:v>219</x:v>
      </x:c>
      <x:c r="J28" s="2" t="s">
        <x:v>220</x:v>
      </x:c>
      <x:c r="K28" s="2" t="s">
        <x:v>221</x:v>
      </x:c>
      <x:c r="L28" s="2" t="s">
        <x:v>124</x:v>
      </x:c>
      <x:c r="M28" s="23" t="str">
        <x:v>Research</x:v>
      </x:c>
      <x:c r="N28" s="23" t="str">
        <x:v>OPEN</x:v>
      </x:c>
      <x:c r="O28" s="23" t="str">
        <x:f t="shared" si="1"/>
        <x:v>Added at launch – no notification</x:v>
      </x:c>
      <x:c r="P28" s="31" t="str">
        <x:f t="shared" si="2">IF(O28&lt;&gt;"Yes","","New funding opportunity added: "&amp;D28)</x:f>
      </x:c>
      <x:c r="Q28" s="32" t="str">
        <x:f t="shared" si="3">IF(O28&lt;&gt;"Yes","","Hello,"&amp;CHAR(10)&amp;CHAR(10)&amp;"A new funding opportunity has been added to the Funding Finder for Statistics."&amp;CHAR(10)&amp;CHAR(10)&amp;D28&amp;CHAR(10)&amp;CHAR(10)&amp;"Funder: "&amp;C28&amp;CHAR(10)&amp;"Deadline: "&amp;IF(ISNUMBER(B28),TEXT(B28,"d mmmm yyyy"),B28)&amp;CHAR(10)&amp;"Funding and duration: "&amp;F28&amp;CHAR(10)&amp;CHAR(10)&amp;"Who can apply:"&amp;CHAR(10)&amp;G28&amp;CHAR(10)&amp;CHAR(10)&amp;"Why it may be relevant to Statistics:"&amp;CHAR(10)&amp;H28&amp;CHAR(10)&amp;CHAR(10)&amp;"Themes: "&amp;I28&amp;CHAR(10)&amp;CHAR(10)&amp;"Official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8" s="32" t="str">
        <x:f t="shared" si="4">IF(O28&lt;&gt;"Yes","",HYPERLINK(K28,"View official opportunity"))</x:f>
      </x:c>
      <x:c r="S28" s="32" t="str">
        <x:f>IF(O28&lt;&gt;"Yes","",HYPERLINK("https://uofgstats.github.io/research-and-scholarship/","Open Funding Finder"))</x:f>
      </x:c>
      <x:c r="T28" s="38"/>
    </x:row>
    <x:row r="29" ht="45">
      <x:c r="A29" s="19" t="str">
        <x:f t="shared" ca="1" si="0">IF(AND(ISNUMBER(B29),B29&lt;TODAY()),"DEADLINE PASSED",N29)</x:f>
        <x:v>OPEN</x:v>
      </x:c>
      <x:c r="B29" s="3" t="s">
        <x:v>212</x:v>
      </x:c>
      <x:c r="C29" s="2" t="s">
        <x:v>222</x:v>
      </x:c>
      <x:c r="D29" s="2" t="s">
        <x:v>223</x:v>
      </x:c>
      <x:c r="E29" s="2" t="s">
        <x:v>85</x:v>
      </x:c>
      <x:c r="F29" s="2" t="s">
        <x:v>224</x:v>
      </x:c>
      <x:c r="G29" s="2" t="s">
        <x:v>225</x:v>
      </x:c>
      <x:c r="H29" s="2" t="s">
        <x:v>226</x:v>
      </x:c>
      <x:c r="I29" s="2" t="s">
        <x:v>227</x:v>
      </x:c>
      <x:c r="J29" s="2" t="s">
        <x:v>228</x:v>
      </x:c>
      <x:c r="K29" s="2" t="s">
        <x:v>229</x:v>
      </x:c>
      <x:c r="L29" s="2" t="s">
        <x:v>230</x:v>
      </x:c>
      <x:c r="M29" s="23" t="str">
        <x:v>Research</x:v>
      </x:c>
      <x:c r="N29" s="23" t="str">
        <x:v>OPEN</x:v>
      </x:c>
      <x:c r="O29" s="23" t="str">
        <x:f t="shared" si="1"/>
        <x:v>Added at launch – no notification</x:v>
      </x:c>
      <x:c r="P29" s="31" t="str">
        <x:f t="shared" si="2">IF(O29&lt;&gt;"Yes","","New funding opportunity added: "&amp;D29)</x:f>
      </x:c>
      <x:c r="Q29" s="32" t="str">
        <x:f t="shared" si="3">IF(O29&lt;&gt;"Yes","","Hello,"&amp;CHAR(10)&amp;CHAR(10)&amp;"A new funding opportunity has been added to the Funding Finder for Statistics."&amp;CHAR(10)&amp;CHAR(10)&amp;D29&amp;CHAR(10)&amp;CHAR(10)&amp;"Funder: "&amp;C29&amp;CHAR(10)&amp;"Deadline: "&amp;IF(ISNUMBER(B29),TEXT(B29,"d mmmm yyyy"),B29)&amp;CHAR(10)&amp;"Funding and duration: "&amp;F29&amp;CHAR(10)&amp;CHAR(10)&amp;"Who can apply:"&amp;CHAR(10)&amp;G29&amp;CHAR(10)&amp;CHAR(10)&amp;"Why it may be relevant to Statistics:"&amp;CHAR(10)&amp;H29&amp;CHAR(10)&amp;CHAR(10)&amp;"Themes: "&amp;I29&amp;CHAR(10)&amp;CHAR(10)&amp;"Official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9" s="32" t="str">
        <x:f t="shared" si="4">IF(O29&lt;&gt;"Yes","",HYPERLINK(K29,"View official opportunity"))</x:f>
      </x:c>
      <x:c r="S29" s="32" t="str">
        <x:f>IF(O29&lt;&gt;"Yes","",HYPERLINK("https://uofgstats.github.io/research-and-scholarship/","Open Funding Finder"))</x:f>
      </x:c>
      <x:c r="T29" s="38"/>
    </x:row>
    <x:row r="30" ht="30">
      <x:c r="A30" s="19" t="str">
        <x:f t="shared" ca="1" si="0">IF(AND(ISNUMBER(B30),B30&lt;TODAY()),"DEADLINE PASSED",N30)</x:f>
        <x:v>OPEN</x:v>
      </x:c>
      <x:c r="B30" s="3" t="s">
        <x:v>212</x:v>
      </x:c>
      <x:c r="C30" s="2" t="s">
        <x:v>222</x:v>
      </x:c>
      <x:c r="D30" s="2" t="s">
        <x:v>231</x:v>
      </x:c>
      <x:c r="E30" s="2" t="s">
        <x:v>85</x:v>
      </x:c>
      <x:c r="F30" s="2" t="s">
        <x:v>232</x:v>
      </x:c>
      <x:c r="G30" s="2" t="s">
        <x:v>233</x:v>
      </x:c>
      <x:c r="H30" s="2" t="s">
        <x:v>234</x:v>
      </x:c>
      <x:c r="I30" s="2" t="s">
        <x:v>235</x:v>
      </x:c>
      <x:c r="J30" s="2" t="s">
        <x:v>236</x:v>
      </x:c>
      <x:c r="K30" s="2" t="s">
        <x:v>237</x:v>
      </x:c>
      <x:c r="L30" s="2" t="s">
        <x:v>230</x:v>
      </x:c>
      <x:c r="M30" s="23" t="str">
        <x:v>Research</x:v>
      </x:c>
      <x:c r="N30" s="23" t="str">
        <x:v>OPEN</x:v>
      </x:c>
      <x:c r="O30" s="23" t="str">
        <x:f t="shared" si="1"/>
        <x:v>Added at launch – no notification</x:v>
      </x:c>
      <x:c r="P30" s="31" t="str">
        <x:f t="shared" si="2">IF(O30&lt;&gt;"Yes","","New funding opportunity added: "&amp;D30)</x:f>
      </x:c>
      <x:c r="Q30" s="32" t="str">
        <x:f t="shared" si="3">IF(O30&lt;&gt;"Yes","","Hello,"&amp;CHAR(10)&amp;CHAR(10)&amp;"A new funding opportunity has been added to the Funding Finder for Statistics."&amp;CHAR(10)&amp;CHAR(10)&amp;D30&amp;CHAR(10)&amp;CHAR(10)&amp;"Funder: "&amp;C30&amp;CHAR(10)&amp;"Deadline: "&amp;IF(ISNUMBER(B30),TEXT(B30,"d mmmm yyyy"),B30)&amp;CHAR(10)&amp;"Funding and duration: "&amp;F30&amp;CHAR(10)&amp;CHAR(10)&amp;"Who can apply:"&amp;CHAR(10)&amp;G30&amp;CHAR(10)&amp;CHAR(10)&amp;"Why it may be relevant to Statistics:"&amp;CHAR(10)&amp;H30&amp;CHAR(10)&amp;CHAR(10)&amp;"Themes: "&amp;I30&amp;CHAR(10)&amp;CHAR(10)&amp;"Official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0" s="32" t="str">
        <x:f t="shared" si="4">IF(O30&lt;&gt;"Yes","",HYPERLINK(K30,"View official opportunity"))</x:f>
      </x:c>
      <x:c r="S30" s="32" t="str">
        <x:f>IF(O30&lt;&gt;"Yes","",HYPERLINK("https://uofgstats.github.io/research-and-scholarship/","Open Funding Finder"))</x:f>
      </x:c>
      <x:c r="T30" s="38"/>
    </x:row>
    <x:row r="31" ht="30">
      <x:c r="A31" s="19" t="str">
        <x:f t="shared" ca="1" si="0">IF(AND(ISNUMBER(B31),B31&lt;TODAY()),"DEADLINE PASSED",N31)</x:f>
        <x:v>OPEN</x:v>
      </x:c>
      <x:c r="B31" s="3" t="s">
        <x:v>212</x:v>
      </x:c>
      <x:c r="C31" s="2" t="s">
        <x:v>222</x:v>
      </x:c>
      <x:c r="D31" s="2" t="s">
        <x:v>238</x:v>
      </x:c>
      <x:c r="E31" s="2" t="s">
        <x:v>239</x:v>
      </x:c>
      <x:c r="F31" s="2" t="s">
        <x:v>240</x:v>
      </x:c>
      <x:c r="G31" s="2" t="s">
        <x:v>241</x:v>
      </x:c>
      <x:c r="H31" s="2" t="s">
        <x:v>242</x:v>
      </x:c>
      <x:c r="I31" s="2" t="s">
        <x:v>58</x:v>
      </x:c>
      <x:c r="J31" s="2" t="s">
        <x:v>228</x:v>
      </x:c>
      <x:c r="K31" s="2" t="s">
        <x:v>243</x:v>
      </x:c>
      <x:c r="L31" s="2" t="s">
        <x:v>230</x:v>
      </x:c>
      <x:c r="M31" s="23" t="str">
        <x:v>Research</x:v>
      </x:c>
      <x:c r="N31" s="23" t="str">
        <x:v>OPEN</x:v>
      </x:c>
      <x:c r="O31" s="23" t="str">
        <x:f t="shared" si="1"/>
        <x:v>Added at launch – no notification</x:v>
      </x:c>
      <x:c r="P31" s="31" t="str">
        <x:f t="shared" si="2">IF(O31&lt;&gt;"Yes","","New funding opportunity added: "&amp;D31)</x:f>
      </x:c>
      <x:c r="Q31" s="32" t="str">
        <x:f t="shared" si="3">IF(O31&lt;&gt;"Yes","","Hello,"&amp;CHAR(10)&amp;CHAR(10)&amp;"A new funding opportunity has been added to the Funding Finder for Statistics."&amp;CHAR(10)&amp;CHAR(10)&amp;D31&amp;CHAR(10)&amp;CHAR(10)&amp;"Funder: "&amp;C31&amp;CHAR(10)&amp;"Deadline: "&amp;IF(ISNUMBER(B31),TEXT(B31,"d mmmm yyyy"),B31)&amp;CHAR(10)&amp;"Funding and duration: "&amp;F31&amp;CHAR(10)&amp;CHAR(10)&amp;"Who can apply:"&amp;CHAR(10)&amp;G31&amp;CHAR(10)&amp;CHAR(10)&amp;"Why it may be relevant to Statistics:"&amp;CHAR(10)&amp;H31&amp;CHAR(10)&amp;CHAR(10)&amp;"Themes: "&amp;I31&amp;CHAR(10)&amp;CHAR(10)&amp;"Official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1" s="32" t="str">
        <x:f t="shared" si="4">IF(O31&lt;&gt;"Yes","",HYPERLINK(K31,"View official opportunity"))</x:f>
      </x:c>
      <x:c r="S31" s="32" t="str">
        <x:f>IF(O31&lt;&gt;"Yes","",HYPERLINK("https://uofgstats.github.io/research-and-scholarship/","Open Funding Finder"))</x:f>
      </x:c>
      <x:c r="T31" s="38"/>
    </x:row>
    <x:row r="32" ht="45">
      <x:c r="A32" s="19" t="str">
        <x:f t="shared" ca="1" si="0">IF(AND(ISNUMBER(B32),B32&lt;TODAY()),"DEADLINE PASSED",N32)</x:f>
        <x:v>OPEN</x:v>
      </x:c>
      <x:c r="B32" s="3" t="s">
        <x:v>212</x:v>
      </x:c>
      <x:c r="C32" s="2" t="s">
        <x:v>222</x:v>
      </x:c>
      <x:c r="D32" s="2" t="s">
        <x:v>244</x:v>
      </x:c>
      <x:c r="E32" s="2" t="s">
        <x:v>32</x:v>
      </x:c>
      <x:c r="F32" s="2" t="s">
        <x:v>245</x:v>
      </x:c>
      <x:c r="G32" s="2" t="s">
        <x:v>246</x:v>
      </x:c>
      <x:c r="H32" s="2" t="s">
        <x:v>247</x:v>
      </x:c>
      <x:c r="I32" s="2" t="s">
        <x:v>36</x:v>
      </x:c>
      <x:c r="J32" s="2" t="s">
        <x:v>248</x:v>
      </x:c>
      <x:c r="K32" s="2" t="s">
        <x:v>249</x:v>
      </x:c>
      <x:c r="L32" s="2" t="s">
        <x:v>230</x:v>
      </x:c>
      <x:c r="M32" s="23" t="str">
        <x:v>Research</x:v>
      </x:c>
      <x:c r="N32" s="23" t="str">
        <x:v>OPEN</x:v>
      </x:c>
      <x:c r="O32" s="23" t="str">
        <x:f t="shared" si="1"/>
        <x:v>Added at launch – no notification</x:v>
      </x:c>
      <x:c r="P32" s="31" t="str">
        <x:f t="shared" si="2">IF(O32&lt;&gt;"Yes","","New funding opportunity added: "&amp;D32)</x:f>
      </x:c>
      <x:c r="Q32" s="32" t="str">
        <x:f t="shared" si="3">IF(O32&lt;&gt;"Yes","","Hello,"&amp;CHAR(10)&amp;CHAR(10)&amp;"A new funding opportunity has been added to the Funding Finder for Statistics."&amp;CHAR(10)&amp;CHAR(10)&amp;D32&amp;CHAR(10)&amp;CHAR(10)&amp;"Funder: "&amp;C32&amp;CHAR(10)&amp;"Deadline: "&amp;IF(ISNUMBER(B32),TEXT(B32,"d mmmm yyyy"),B32)&amp;CHAR(10)&amp;"Funding and duration: "&amp;F32&amp;CHAR(10)&amp;CHAR(10)&amp;"Who can apply:"&amp;CHAR(10)&amp;G32&amp;CHAR(10)&amp;CHAR(10)&amp;"Why it may be relevant to Statistics:"&amp;CHAR(10)&amp;H32&amp;CHAR(10)&amp;CHAR(10)&amp;"Themes: "&amp;I32&amp;CHAR(10)&amp;CHAR(10)&amp;"Official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2" s="32" t="str">
        <x:f t="shared" si="4">IF(O32&lt;&gt;"Yes","",HYPERLINK(K32,"View official opportunity"))</x:f>
      </x:c>
      <x:c r="S32" s="32" t="str">
        <x:f>IF(O32&lt;&gt;"Yes","",HYPERLINK("https://uofgstats.github.io/research-and-scholarship/","Open Funding Finder"))</x:f>
      </x:c>
      <x:c r="T32" s="38"/>
    </x:row>
    <x:row r="33" ht="60">
      <x:c r="A33" s="22" t="str">
        <x:f t="shared" ca="1" si="0">IF(AND(ISNUMBER(B33),B33&lt;TODAY()),"DEADLINE PASSED",N33)</x:f>
        <x:v>FORTHCOMING</x:v>
      </x:c>
      <x:c r="B33" s="3" t="s">
        <x:v>250</x:v>
      </x:c>
      <x:c r="C33" s="2" t="s">
        <x:v>134</x:v>
      </x:c>
      <x:c r="D33" s="2" t="s">
        <x:v>251</x:v>
      </x:c>
      <x:c r="E33" s="2" t="s">
        <x:v>85</x:v>
      </x:c>
      <x:c r="F33" s="2" t="s">
        <x:v>252</x:v>
      </x:c>
      <x:c r="G33" s="2" t="s">
        <x:v>253</x:v>
      </x:c>
      <x:c r="H33" s="2" t="s">
        <x:v>254</x:v>
      </x:c>
      <x:c r="I33" s="2" t="s">
        <x:v>255</x:v>
      </x:c>
      <x:c r="J33" s="2" t="s">
        <x:v>256</x:v>
      </x:c>
      <x:c r="K33" s="2" t="s">
        <x:v>257</x:v>
      </x:c>
      <x:c r="L33" s="2" t="s">
        <x:v>258</x:v>
      </x:c>
      <x:c r="M33" s="23" t="str">
        <x:v>Research</x:v>
      </x:c>
      <x:c r="N33" s="23" t="str">
        <x:v>FORTHCOMING</x:v>
      </x:c>
      <x:c r="O33" s="23" t="str">
        <x:f t="shared" si="1"/>
        <x:v>Added at launch – no notification</x:v>
      </x:c>
      <x:c r="P33" s="31" t="str">
        <x:f t="shared" si="2">IF(O33&lt;&gt;"Yes","","New funding opportunity added: "&amp;D33)</x:f>
      </x:c>
      <x:c r="Q33" s="32" t="str">
        <x:f t="shared" si="3">IF(O33&lt;&gt;"Yes","","Hello,"&amp;CHAR(10)&amp;CHAR(10)&amp;"A new funding opportunity has been added to the Funding Finder for Statistics."&amp;CHAR(10)&amp;CHAR(10)&amp;D33&amp;CHAR(10)&amp;CHAR(10)&amp;"Funder: "&amp;C33&amp;CHAR(10)&amp;"Deadline: "&amp;IF(ISNUMBER(B33),TEXT(B33,"d mmmm yyyy"),B33)&amp;CHAR(10)&amp;"Funding and duration: "&amp;F33&amp;CHAR(10)&amp;CHAR(10)&amp;"Who can apply:"&amp;CHAR(10)&amp;G33&amp;CHAR(10)&amp;CHAR(10)&amp;"Why it may be relevant to Statistics:"&amp;CHAR(10)&amp;H33&amp;CHAR(10)&amp;CHAR(10)&amp;"Themes: "&amp;I33&amp;CHAR(10)&amp;CHAR(10)&amp;"Official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3" s="32" t="str">
        <x:f t="shared" si="4">IF(O33&lt;&gt;"Yes","",HYPERLINK(K33,"View official opportunity"))</x:f>
      </x:c>
      <x:c r="S33" s="32" t="str">
        <x:f>IF(O33&lt;&gt;"Yes","",HYPERLINK("https://uofgstats.github.io/research-and-scholarship/","Open Funding Finder"))</x:f>
      </x:c>
      <x:c r="T33" s="38"/>
    </x:row>
    <x:row r="34" ht="45">
      <x:c r="A34" s="22" t="str">
        <x:f t="shared" ca="1" si="0">IF(AND(ISNUMBER(B34),B34&lt;TODAY()),"DEADLINE PASSED",N34)</x:f>
        <x:v>FORTHCOMING</x:v>
      </x:c>
      <x:c r="B34" s="3" t="s">
        <x:v>259</x:v>
      </x:c>
      <x:c r="C34" s="2" t="s">
        <x:v>260</x:v>
      </x:c>
      <x:c r="D34" s="2" t="s">
        <x:v>261</x:v>
      </x:c>
      <x:c r="E34" s="2" t="s">
        <x:v>262</x:v>
      </x:c>
      <x:c r="F34" s="2" t="s">
        <x:v>263</x:v>
      </x:c>
      <x:c r="G34" s="2" t="s">
        <x:v>264</x:v>
      </x:c>
      <x:c r="H34" s="2" t="s">
        <x:v>265</x:v>
      </x:c>
      <x:c r="I34" s="2" t="s">
        <x:v>266</x:v>
      </x:c>
      <x:c r="J34" s="2" t="s">
        <x:v>267</x:v>
      </x:c>
      <x:c r="K34" s="2" t="s">
        <x:v>257</x:v>
      </x:c>
      <x:c r="L34" s="2" t="s">
        <x:v>258</x:v>
      </x:c>
      <x:c r="M34" s="23" t="str">
        <x:v>Research</x:v>
      </x:c>
      <x:c r="N34" s="23" t="str">
        <x:v>FORTHCOMING</x:v>
      </x:c>
      <x:c r="O34" s="23" t="str">
        <x:f t="shared" si="1"/>
        <x:v>Added at launch – no notification</x:v>
      </x:c>
      <x:c r="P34" s="31" t="str">
        <x:f t="shared" si="2">IF(O34&lt;&gt;"Yes","","New funding opportunity added: "&amp;D34)</x:f>
      </x:c>
      <x:c r="Q34" s="32" t="str">
        <x:f t="shared" si="3">IF(O34&lt;&gt;"Yes","","Hello,"&amp;CHAR(10)&amp;CHAR(10)&amp;"A new funding opportunity has been added to the Funding Finder for Statistics."&amp;CHAR(10)&amp;CHAR(10)&amp;D34&amp;CHAR(10)&amp;CHAR(10)&amp;"Funder: "&amp;C34&amp;CHAR(10)&amp;"Deadline: "&amp;IF(ISNUMBER(B34),TEXT(B34,"d mmmm yyyy"),B34)&amp;CHAR(10)&amp;"Funding and duration: "&amp;F34&amp;CHAR(10)&amp;CHAR(10)&amp;"Who can apply:"&amp;CHAR(10)&amp;G34&amp;CHAR(10)&amp;CHAR(10)&amp;"Why it may be relevant to Statistics:"&amp;CHAR(10)&amp;H34&amp;CHAR(10)&amp;CHAR(10)&amp;"Themes: "&amp;I34&amp;CHAR(10)&amp;CHAR(10)&amp;"Official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4" s="32" t="str">
        <x:f t="shared" si="4">IF(O34&lt;&gt;"Yes","",HYPERLINK(K34,"View official opportunity"))</x:f>
      </x:c>
      <x:c r="S34" s="32" t="str">
        <x:f>IF(O34&lt;&gt;"Yes","",HYPERLINK("https://uofgstats.github.io/research-and-scholarship/","Open Funding Finder"))</x:f>
      </x:c>
      <x:c r="T34" s="38"/>
    </x:row>
    <x:row r="35" ht="30">
      <x:c r="A35" s="22" t="str">
        <x:f t="shared" ca="1" si="0">IF(AND(ISNUMBER(B35),B35&lt;TODAY()),"DEADLINE PASSED",N35)</x:f>
        <x:v>FORTHCOMING</x:v>
      </x:c>
      <x:c r="B35" s="3" t="s">
        <x:v>259</x:v>
      </x:c>
      <x:c r="C35" s="2" t="s">
        <x:v>142</x:v>
      </x:c>
      <x:c r="D35" s="2" t="s">
        <x:v>268</x:v>
      </x:c>
      <x:c r="E35" s="2" t="s">
        <x:v>269</x:v>
      </x:c>
      <x:c r="F35" s="2" t="s">
        <x:v>270</x:v>
      </x:c>
      <x:c r="G35" s="2" t="s">
        <x:v>271</x:v>
      </x:c>
      <x:c r="H35" s="2" t="s">
        <x:v>272</x:v>
      </x:c>
      <x:c r="I35" s="2" t="s">
        <x:v>273</x:v>
      </x:c>
      <x:c r="J35" s="2" t="s">
        <x:v>274</x:v>
      </x:c>
      <x:c r="K35" s="2" t="s">
        <x:v>257</x:v>
      </x:c>
      <x:c r="L35" s="2" t="s">
        <x:v>258</x:v>
      </x:c>
      <x:c r="M35" s="23" t="str">
        <x:v>Research</x:v>
      </x:c>
      <x:c r="N35" s="23" t="str">
        <x:v>FORTHCOMING</x:v>
      </x:c>
      <x:c r="O35" s="23" t="str">
        <x:f t="shared" si="1"/>
        <x:v>Added at launch – no notification</x:v>
      </x:c>
      <x:c r="P35" s="31" t="str">
        <x:f t="shared" si="2">IF(O35&lt;&gt;"Yes","","New funding opportunity added: "&amp;D35)</x:f>
      </x:c>
      <x:c r="Q35" s="32" t="str">
        <x:f t="shared" si="3">IF(O35&lt;&gt;"Yes","","Hello,"&amp;CHAR(10)&amp;CHAR(10)&amp;"A new funding opportunity has been added to the Funding Finder for Statistics."&amp;CHAR(10)&amp;CHAR(10)&amp;D35&amp;CHAR(10)&amp;CHAR(10)&amp;"Funder: "&amp;C35&amp;CHAR(10)&amp;"Deadline: "&amp;IF(ISNUMBER(B35),TEXT(B35,"d mmmm yyyy"),B35)&amp;CHAR(10)&amp;"Funding and duration: "&amp;F35&amp;CHAR(10)&amp;CHAR(10)&amp;"Who can apply:"&amp;CHAR(10)&amp;G35&amp;CHAR(10)&amp;CHAR(10)&amp;"Why it may be relevant to Statistics:"&amp;CHAR(10)&amp;H35&amp;CHAR(10)&amp;CHAR(10)&amp;"Themes: "&amp;I35&amp;CHAR(10)&amp;CHAR(10)&amp;"Official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5" s="32" t="str">
        <x:f t="shared" si="4">IF(O35&lt;&gt;"Yes","",HYPERLINK(K35,"View official opportunity"))</x:f>
      </x:c>
      <x:c r="S35" s="32" t="str">
        <x:f>IF(O35&lt;&gt;"Yes","",HYPERLINK("https://uofgstats.github.io/research-and-scholarship/","Open Funding Finder"))</x:f>
      </x:c>
      <x:c r="T35" s="38"/>
    </x:row>
    <x:row r="36" ht="30">
      <x:c r="A36" s="22" t="str">
        <x:f t="shared" ca="1" si="0">IF(AND(ISNUMBER(B36),B36&lt;TODAY()),"DEADLINE PASSED",N36)</x:f>
        <x:v>FORTHCOMING</x:v>
      </x:c>
      <x:c r="B36" s="3" t="s">
        <x:v>275</x:v>
      </x:c>
      <x:c r="C36" s="2" t="s">
        <x:v>134</x:v>
      </x:c>
      <x:c r="D36" s="2" t="s">
        <x:v>276</x:v>
      </x:c>
      <x:c r="E36" s="2" t="s">
        <x:v>277</x:v>
      </x:c>
      <x:c r="F36" s="2" t="s">
        <x:v>278</x:v>
      </x:c>
      <x:c r="G36" s="2" t="s">
        <x:v>279</x:v>
      </x:c>
      <x:c r="H36" s="2" t="s">
        <x:v>280</x:v>
      </x:c>
      <x:c r="I36" s="2" t="s">
        <x:v>281</x:v>
      </x:c>
      <x:c r="J36" s="2" t="s">
        <x:v>282</x:v>
      </x:c>
      <x:c r="K36" s="2" t="s">
        <x:v>257</x:v>
      </x:c>
      <x:c r="L36" s="2" t="s">
        <x:v>258</x:v>
      </x:c>
      <x:c r="M36" s="23" t="str">
        <x:v>Research</x:v>
      </x:c>
      <x:c r="N36" s="23" t="str">
        <x:v>FORTHCOMING</x:v>
      </x:c>
      <x:c r="O36" s="23" t="str">
        <x:f t="shared" si="1"/>
        <x:v>Added at launch – no notification</x:v>
      </x:c>
      <x:c r="P36" s="31" t="str">
        <x:f t="shared" si="2">IF(O36&lt;&gt;"Yes","","New funding opportunity added: "&amp;D36)</x:f>
      </x:c>
      <x:c r="Q36" s="32" t="str">
        <x:f t="shared" si="3">IF(O36&lt;&gt;"Yes","","Hello,"&amp;CHAR(10)&amp;CHAR(10)&amp;"A new funding opportunity has been added to the Funding Finder for Statistics."&amp;CHAR(10)&amp;CHAR(10)&amp;D36&amp;CHAR(10)&amp;CHAR(10)&amp;"Funder: "&amp;C36&amp;CHAR(10)&amp;"Deadline: "&amp;IF(ISNUMBER(B36),TEXT(B36,"d mmmm yyyy"),B36)&amp;CHAR(10)&amp;"Funding and duration: "&amp;F36&amp;CHAR(10)&amp;CHAR(10)&amp;"Who can apply:"&amp;CHAR(10)&amp;G36&amp;CHAR(10)&amp;CHAR(10)&amp;"Why it may be relevant to Statistics:"&amp;CHAR(10)&amp;H36&amp;CHAR(10)&amp;CHAR(10)&amp;"Themes: "&amp;I36&amp;CHAR(10)&amp;CHAR(10)&amp;"Official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6" s="32" t="str">
        <x:f t="shared" si="4">IF(O36&lt;&gt;"Yes","",HYPERLINK(K36,"View official opportunity"))</x:f>
      </x:c>
      <x:c r="S36" s="32" t="str">
        <x:f>IF(O36&lt;&gt;"Yes","",HYPERLINK("https://uofgstats.github.io/research-and-scholarship/","Open Funding Finder"))</x:f>
      </x:c>
      <x:c r="T36" s="38"/>
    </x:row>
    <x:row r="37" ht="30">
      <x:c r="A37" s="22" t="str">
        <x:f t="shared" ca="1" si="0">IF(AND(ISNUMBER(B37),B37&lt;TODAY()),"DEADLINE PASSED",N37)</x:f>
        <x:v>FORTHCOMING</x:v>
      </x:c>
      <x:c r="B37" s="3" t="s">
        <x:v>275</x:v>
      </x:c>
      <x:c r="C37" s="2" t="s">
        <x:v>283</x:v>
      </x:c>
      <x:c r="D37" s="2" t="s">
        <x:v>284</x:v>
      </x:c>
      <x:c r="E37" s="2" t="s">
        <x:v>285</x:v>
      </x:c>
      <x:c r="F37" s="2" t="s">
        <x:v>286</x:v>
      </x:c>
      <x:c r="G37" s="2" t="s">
        <x:v>287</x:v>
      </x:c>
      <x:c r="H37" s="2" t="s">
        <x:v>288</x:v>
      </x:c>
      <x:c r="I37" s="2" t="s">
        <x:v>289</x:v>
      </x:c>
      <x:c r="J37" s="2" t="s">
        <x:v>290</x:v>
      </x:c>
      <x:c r="K37" s="2" t="s">
        <x:v>257</x:v>
      </x:c>
      <x:c r="L37" s="2" t="s">
        <x:v>258</x:v>
      </x:c>
      <x:c r="M37" s="23" t="str">
        <x:v>Research</x:v>
      </x:c>
      <x:c r="N37" s="23" t="str">
        <x:v>FORTHCOMING</x:v>
      </x:c>
      <x:c r="O37" s="23" t="str">
        <x:f t="shared" si="1"/>
        <x:v>Added at launch – no notification</x:v>
      </x:c>
      <x:c r="P37" s="31" t="str">
        <x:f t="shared" si="2">IF(O37&lt;&gt;"Yes","","New funding opportunity added: "&amp;D37)</x:f>
      </x:c>
      <x:c r="Q37" s="32" t="str">
        <x:f t="shared" si="3">IF(O37&lt;&gt;"Yes","","Hello,"&amp;CHAR(10)&amp;CHAR(10)&amp;"A new funding opportunity has been added to the Funding Finder for Statistics."&amp;CHAR(10)&amp;CHAR(10)&amp;D37&amp;CHAR(10)&amp;CHAR(10)&amp;"Funder: "&amp;C37&amp;CHAR(10)&amp;"Deadline: "&amp;IF(ISNUMBER(B37),TEXT(B37,"d mmmm yyyy"),B37)&amp;CHAR(10)&amp;"Funding and duration: "&amp;F37&amp;CHAR(10)&amp;CHAR(10)&amp;"Who can apply:"&amp;CHAR(10)&amp;G37&amp;CHAR(10)&amp;CHAR(10)&amp;"Why it may be relevant to Statistics:"&amp;CHAR(10)&amp;H37&amp;CHAR(10)&amp;CHAR(10)&amp;"Themes: "&amp;I37&amp;CHAR(10)&amp;CHAR(10)&amp;"Official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7" s="32" t="str">
        <x:f t="shared" si="4">IF(O37&lt;&gt;"Yes","",HYPERLINK(K37,"View official opportunity"))</x:f>
      </x:c>
      <x:c r="S37" s="32" t="str">
        <x:f>IF(O37&lt;&gt;"Yes","",HYPERLINK("https://uofgstats.github.io/research-and-scholarship/","Open Funding Finder"))</x:f>
      </x:c>
      <x:c r="T37" s="38"/>
    </x:row>
    <x:row r="38" ht="30">
      <x:c r="A38" s="22" t="str">
        <x:f t="shared" ca="1" si="0">IF(AND(ISNUMBER(B38),B38&lt;TODAY()),"DEADLINE PASSED",N38)</x:f>
        <x:v>FORTHCOMING</x:v>
      </x:c>
      <x:c r="B38" s="3" t="s">
        <x:v>291</x:v>
      </x:c>
      <x:c r="C38" s="2" t="s">
        <x:v>134</x:v>
      </x:c>
      <x:c r="D38" s="2" t="s">
        <x:v>292</x:v>
      </x:c>
      <x:c r="E38" s="2" t="s">
        <x:v>293</x:v>
      </x:c>
      <x:c r="F38" s="2" t="s">
        <x:v>294</x:v>
      </x:c>
      <x:c r="G38" s="2" t="s">
        <x:v>295</x:v>
      </x:c>
      <x:c r="H38" s="2" t="s">
        <x:v>296</x:v>
      </x:c>
      <x:c r="I38" s="2" t="s">
        <x:v>297</x:v>
      </x:c>
      <x:c r="J38" s="2" t="s">
        <x:v>298</x:v>
      </x:c>
      <x:c r="K38" s="2" t="s">
        <x:v>257</x:v>
      </x:c>
      <x:c r="L38" s="2" t="s">
        <x:v>258</x:v>
      </x:c>
      <x:c r="M38" s="23" t="str">
        <x:v>Research</x:v>
      </x:c>
      <x:c r="N38" s="23" t="str">
        <x:v>FORTHCOMING</x:v>
      </x:c>
      <x:c r="O38" s="23" t="str">
        <x:f t="shared" si="1"/>
        <x:v>Added at launch – no notification</x:v>
      </x:c>
      <x:c r="P38" s="31" t="str">
        <x:f t="shared" si="2">IF(O38&lt;&gt;"Yes","","New funding opportunity added: "&amp;D38)</x:f>
      </x:c>
      <x:c r="Q38" s="32" t="str">
        <x:f t="shared" si="3">IF(O38&lt;&gt;"Yes","","Hello,"&amp;CHAR(10)&amp;CHAR(10)&amp;"A new funding opportunity has been added to the Funding Finder for Statistics."&amp;CHAR(10)&amp;CHAR(10)&amp;D38&amp;CHAR(10)&amp;CHAR(10)&amp;"Funder: "&amp;C38&amp;CHAR(10)&amp;"Deadline: "&amp;IF(ISNUMBER(B38),TEXT(B38,"d mmmm yyyy"),B38)&amp;CHAR(10)&amp;"Funding and duration: "&amp;F38&amp;CHAR(10)&amp;CHAR(10)&amp;"Who can apply:"&amp;CHAR(10)&amp;G38&amp;CHAR(10)&amp;CHAR(10)&amp;"Why it may be relevant to Statistics:"&amp;CHAR(10)&amp;H38&amp;CHAR(10)&amp;CHAR(10)&amp;"Themes: "&amp;I38&amp;CHAR(10)&amp;CHAR(10)&amp;"Official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8" s="32" t="str">
        <x:f t="shared" si="4">IF(O38&lt;&gt;"Yes","",HYPERLINK(K38,"View official opportunity"))</x:f>
      </x:c>
      <x:c r="S38" s="32" t="str">
        <x:f>IF(O38&lt;&gt;"Yes","",HYPERLINK("https://uofgstats.github.io/research-and-scholarship/","Open Funding Finder"))</x:f>
      </x:c>
      <x:c r="T38" s="38"/>
    </x:row>
    <x:row r="39" ht="30">
      <x:c r="A39" s="22" t="str">
        <x:f t="shared" ca="1" si="0">IF(AND(ISNUMBER(B39),B39&lt;TODAY()),"DEADLINE PASSED",N39)</x:f>
        <x:v>FORTHCOMING</x:v>
      </x:c>
      <x:c r="B39" s="3" t="s">
        <x:v>291</x:v>
      </x:c>
      <x:c r="C39" s="2" t="s">
        <x:v>134</x:v>
      </x:c>
      <x:c r="D39" s="2" t="s">
        <x:v>299</x:v>
      </x:c>
      <x:c r="E39" s="2" t="s">
        <x:v>23</x:v>
      </x:c>
      <x:c r="F39" s="2" t="s">
        <x:v>300</x:v>
      </x:c>
      <x:c r="G39" s="2" t="s">
        <x:v>301</x:v>
      </x:c>
      <x:c r="H39" s="2" t="s">
        <x:v>302</x:v>
      </x:c>
      <x:c r="I39" s="2" t="s">
        <x:v>303</x:v>
      </x:c>
      <x:c r="J39" s="2" t="s">
        <x:v>304</x:v>
      </x:c>
      <x:c r="K39" s="2" t="s">
        <x:v>257</x:v>
      </x:c>
      <x:c r="L39" s="2" t="s">
        <x:v>258</x:v>
      </x:c>
      <x:c r="M39" s="23" t="str">
        <x:v>Research</x:v>
      </x:c>
      <x:c r="N39" s="23" t="str">
        <x:v>FORTHCOMING</x:v>
      </x:c>
      <x:c r="O39" s="23" t="str">
        <x:f t="shared" si="1"/>
        <x:v>Added at launch – no notification</x:v>
      </x:c>
      <x:c r="P39" s="31" t="str">
        <x:f t="shared" si="2">IF(O39&lt;&gt;"Yes","","New funding opportunity added: "&amp;D39)</x:f>
      </x:c>
      <x:c r="Q39" s="32" t="str">
        <x:f t="shared" si="3">IF(O39&lt;&gt;"Yes","","Hello,"&amp;CHAR(10)&amp;CHAR(10)&amp;"A new funding opportunity has been added to the Funding Finder for Statistics."&amp;CHAR(10)&amp;CHAR(10)&amp;D39&amp;CHAR(10)&amp;CHAR(10)&amp;"Funder: "&amp;C39&amp;CHAR(10)&amp;"Deadline: "&amp;IF(ISNUMBER(B39),TEXT(B39,"d mmmm yyyy"),B39)&amp;CHAR(10)&amp;"Funding and duration: "&amp;F39&amp;CHAR(10)&amp;CHAR(10)&amp;"Who can apply:"&amp;CHAR(10)&amp;G39&amp;CHAR(10)&amp;CHAR(10)&amp;"Why it may be relevant to Statistics:"&amp;CHAR(10)&amp;H39&amp;CHAR(10)&amp;CHAR(10)&amp;"Themes: "&amp;I39&amp;CHAR(10)&amp;CHAR(10)&amp;"Official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9" s="32" t="str">
        <x:f t="shared" si="4">IF(O39&lt;&gt;"Yes","",HYPERLINK(K39,"View official opportunity"))</x:f>
      </x:c>
      <x:c r="S39" s="32" t="str">
        <x:f>IF(O39&lt;&gt;"Yes","",HYPERLINK("https://uofgstats.github.io/research-and-scholarship/","Open Funding Finder"))</x:f>
      </x:c>
      <x:c r="T39" s="38"/>
    </x:row>
    <x:row r="40" ht="30">
      <x:c r="A40" s="22" t="str">
        <x:f t="shared" ca="1" si="0">IF(AND(ISNUMBER(B40),B40&lt;TODAY()),"DEADLINE PASSED",N40)</x:f>
        <x:v>FORTHCOMING</x:v>
      </x:c>
      <x:c r="B40" s="3" t="s">
        <x:v>305</x:v>
      </x:c>
      <x:c r="C40" s="2" t="s">
        <x:v>134</x:v>
      </x:c>
      <x:c r="D40" s="2" t="s">
        <x:v>306</x:v>
      </x:c>
      <x:c r="E40" s="2" t="s">
        <x:v>32</x:v>
      </x:c>
      <x:c r="F40" s="2" t="s">
        <x:v>307</x:v>
      </x:c>
      <x:c r="G40" s="2" t="s">
        <x:v>308</x:v>
      </x:c>
      <x:c r="H40" s="2" t="s">
        <x:v>309</x:v>
      </x:c>
      <x:c r="I40" s="2" t="s">
        <x:v>310</x:v>
      </x:c>
      <x:c r="J40" s="2" t="s">
        <x:v>311</x:v>
      </x:c>
      <x:c r="K40" s="2" t="s">
        <x:v>257</x:v>
      </x:c>
      <x:c r="L40" s="2" t="s">
        <x:v>258</x:v>
      </x:c>
      <x:c r="M40" s="23" t="str">
        <x:v>Research</x:v>
      </x:c>
      <x:c r="N40" s="23" t="str">
        <x:v>FORTHCOMING</x:v>
      </x:c>
      <x:c r="O40" s="23" t="str">
        <x:f t="shared" si="1"/>
        <x:v>Added at launch – no notification</x:v>
      </x:c>
      <x:c r="P40" s="31" t="str">
        <x:f t="shared" si="2">IF(O40&lt;&gt;"Yes","","New funding opportunity added: "&amp;D40)</x:f>
      </x:c>
      <x:c r="Q40" s="32" t="str">
        <x:f t="shared" si="3">IF(O40&lt;&gt;"Yes","","Hello,"&amp;CHAR(10)&amp;CHAR(10)&amp;"A new funding opportunity has been added to the Funding Finder for Statistics."&amp;CHAR(10)&amp;CHAR(10)&amp;D40&amp;CHAR(10)&amp;CHAR(10)&amp;"Funder: "&amp;C40&amp;CHAR(10)&amp;"Deadline: "&amp;IF(ISNUMBER(B40),TEXT(B40,"d mmmm yyyy"),B40)&amp;CHAR(10)&amp;"Funding and duration: "&amp;F40&amp;CHAR(10)&amp;CHAR(10)&amp;"Who can apply:"&amp;CHAR(10)&amp;G40&amp;CHAR(10)&amp;CHAR(10)&amp;"Why it may be relevant to Statistics:"&amp;CHAR(10)&amp;H40&amp;CHAR(10)&amp;CHAR(10)&amp;"Themes: "&amp;I40&amp;CHAR(10)&amp;CHAR(10)&amp;"Official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40" s="32" t="str">
        <x:f t="shared" si="4">IF(O40&lt;&gt;"Yes","",HYPERLINK(K40,"View official opportunity"))</x:f>
      </x:c>
      <x:c r="S40" s="32" t="str">
        <x:f>IF(O40&lt;&gt;"Yes","",HYPERLINK("https://uofgstats.github.io/research-and-scholarship/","Open Funding Finder"))</x:f>
      </x:c>
      <x:c r="T40" s="38"/>
    </x:row>
    <x:row r="41" ht="45">
      <x:c r="A41" s="16" t="str">
        <x:f t="shared" ca="1" si="0">IF(AND(ISNUMBER(B41),B41&lt;TODAY()),"DEADLINE PASSED",N41)</x:f>
        <x:v>DEADLINE PASSED</x:v>
      </x:c>
      <x:c r="B41" s="3">
        <x:v>46283</x:v>
      </x:c>
      <x:c r="C41" s="2" t="s">
        <x:v>312</x:v>
      </x:c>
      <x:c r="D41" s="2" t="s">
        <x:v>313</x:v>
      </x:c>
      <x:c r="E41" s="2" t="s">
        <x:v>314</x:v>
      </x:c>
      <x:c r="F41" s="2" t="s">
        <x:v>315</x:v>
      </x:c>
      <x:c r="G41" s="2" t="s">
        <x:v>316</x:v>
      </x:c>
      <x:c r="H41" s="2" t="s">
        <x:v>317</x:v>
      </x:c>
      <x:c r="I41" s="2" t="s">
        <x:v>318</x:v>
      </x:c>
      <x:c r="J41" s="2" t="s">
        <x:v>319</x:v>
      </x:c>
      <x:c r="K41" s="2" t="s">
        <x:v>320</x:v>
      </x:c>
      <x:c r="L41" s="2" t="s">
        <x:v>124</x:v>
      </x:c>
      <x:c r="M41" s="23" t="str">
        <x:v>Research</x:v>
      </x:c>
      <x:c r="N41" s="23" t="str">
        <x:v>CLOSED – monitor recurrence</x:v>
      </x:c>
      <x:c r="O41" s="23" t="str">
        <x:f t="shared" si="1"/>
        <x:v>Added at launch – no notification</x:v>
      </x:c>
      <x:c r="P41" s="31" t="str">
        <x:f t="shared" si="2">IF(O41&lt;&gt;"Yes","","New funding opportunity added: "&amp;D41)</x:f>
      </x:c>
      <x:c r="Q41" s="32" t="str">
        <x:f t="shared" si="3">IF(O41&lt;&gt;"Yes","","Hello,"&amp;CHAR(10)&amp;CHAR(10)&amp;"A new funding opportunity has been added to the Funding Finder for Statistics."&amp;CHAR(10)&amp;CHAR(10)&amp;D41&amp;CHAR(10)&amp;CHAR(10)&amp;"Funder: "&amp;C41&amp;CHAR(10)&amp;"Deadline: "&amp;IF(ISNUMBER(B41),TEXT(B41,"d mmmm yyyy"),B41)&amp;CHAR(10)&amp;"Funding and duration: "&amp;F41&amp;CHAR(10)&amp;CHAR(10)&amp;"Who can apply:"&amp;CHAR(10)&amp;G41&amp;CHAR(10)&amp;CHAR(10)&amp;"Why it may be relevant to Statistics:"&amp;CHAR(10)&amp;H41&amp;CHAR(10)&amp;CHAR(10)&amp;"Themes: "&amp;I41&amp;CHAR(10)&amp;CHAR(10)&amp;"Official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41" s="32" t="str">
        <x:f t="shared" si="4">IF(O41&lt;&gt;"Yes","",HYPERLINK(K41,"View official opportunity"))</x:f>
      </x:c>
      <x:c r="S41" s="32" t="str">
        <x:f>IF(O41&lt;&gt;"Yes","",HYPERLINK("https://uofgstats.github.io/research-and-scholarship/","Open Funding Finder"))</x:f>
      </x:c>
      <x:c r="T41" s="38"/>
    </x:row>
    <x:row r="42" ht="45">
      <x:c r="A42" s="16" t="str">
        <x:f t="shared" ca="1" si="0">IF(AND(ISNUMBER(B42),B42&lt;TODAY()),"DEADLINE PASSED",N42)</x:f>
        <x:v>DEADLINE PASSED</x:v>
      </x:c>
      <x:c r="B42" s="3">
        <x:v>46286</x:v>
      </x:c>
      <x:c r="C42" s="2" t="s">
        <x:v>321</x:v>
      </x:c>
      <x:c r="D42" s="2" t="s">
        <x:v>322</x:v>
      </x:c>
      <x:c r="E42" s="2" t="s">
        <x:v>323</x:v>
      </x:c>
      <x:c r="F42" s="2" t="s">
        <x:v>324</x:v>
      </x:c>
      <x:c r="G42" s="2" t="s">
        <x:v>325</x:v>
      </x:c>
      <x:c r="H42" s="2" t="s">
        <x:v>326</x:v>
      </x:c>
      <x:c r="I42" s="2" t="s">
        <x:v>327</x:v>
      </x:c>
      <x:c r="J42" s="2" t="s">
        <x:v>328</x:v>
      </x:c>
      <x:c r="K42" s="2" t="s">
        <x:v>329</x:v>
      </x:c>
      <x:c r="L42" s="2" t="s">
        <x:v>124</x:v>
      </x:c>
      <x:c r="M42" s="23" t="str">
        <x:v>Research</x:v>
      </x:c>
      <x:c r="N42" s="23" t="str">
        <x:v>CLOSED – invited stage continues</x:v>
      </x:c>
      <x:c r="O42" s="23" t="str">
        <x:f t="shared" si="1"/>
        <x:v>Added at launch – no notification</x:v>
      </x:c>
      <x:c r="P42" s="31" t="str">
        <x:f t="shared" si="2">IF(O42&lt;&gt;"Yes","","New funding opportunity added: "&amp;D42)</x:f>
      </x:c>
      <x:c r="Q42" s="32" t="str">
        <x:f t="shared" si="3">IF(O42&lt;&gt;"Yes","","Hello,"&amp;CHAR(10)&amp;CHAR(10)&amp;"A new funding opportunity has been added to the Funding Finder for Statistics."&amp;CHAR(10)&amp;CHAR(10)&amp;D42&amp;CHAR(10)&amp;CHAR(10)&amp;"Funder: "&amp;C42&amp;CHAR(10)&amp;"Deadline: "&amp;IF(ISNUMBER(B42),TEXT(B42,"d mmmm yyyy"),B42)&amp;CHAR(10)&amp;"Funding and duration: "&amp;F42&amp;CHAR(10)&amp;CHAR(10)&amp;"Who can apply:"&amp;CHAR(10)&amp;G42&amp;CHAR(10)&amp;CHAR(10)&amp;"Why it may be relevant to Statistics:"&amp;CHAR(10)&amp;H42&amp;CHAR(10)&amp;CHAR(10)&amp;"Themes: "&amp;I42&amp;CHAR(10)&amp;CHAR(10)&amp;"Official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42" s="32" t="str">
        <x:f t="shared" si="4">IF(O42&lt;&gt;"Yes","",HYPERLINK(K42,"View official opportunity"))</x:f>
      </x:c>
      <x:c r="S42" s="32" t="str">
        <x:f>IF(O42&lt;&gt;"Yes","",HYPERLINK("https://uofgstats.github.io/research-and-scholarship/","Open Funding Finder"))</x:f>
      </x:c>
      <x:c r="T42" s="38"/>
    </x:row>
    <x:row r="43">
      <x:c r="A43" s="64" t="str">
        <x:f>IF(AND(ISNUMBER(B43),B43&lt;TODAY()),"DEADLINE PASSED",N43)</x:f>
        <x:v>CLOSED – monitor recurrence</x:v>
      </x:c>
      <x:c r="B43" t="str">
        <x:v>Next call TBC</x:v>
      </x:c>
      <x:c r="C43" t="str">
        <x:v>University of Glasgow</x:v>
      </x:c>
      <x:c r="D43" t="str">
        <x:v>Scholarship of Teaching &amp; Learning (SoTL) Fund</x:v>
      </x:c>
      <x:c r="E43" t="str">
        <x:v>Teaching and learning scholarship</x:v>
      </x:c>
      <x:c r="F43" t="str">
        <x:v>Amount and terms available on the UofG staff sign-in page</x:v>
      </x:c>
      <x:c r="G43" t="str">
        <x:v>University of Glasgow staff; check the internal call for full eligibility</x:v>
      </x:c>
      <x:c r="H43" t="str">
        <x:v>Strong fit for evaluating statistics teaching, assessment, student learning and evidence-based educational change.</x:v>
      </x:c>
      <x:c r="I43" t="str">
        <x:v>Scholarship; teaching; learning; assessment; evaluation</x:v>
      </x:c>
      <x:c r="J43" t="str">
        <x:v>The 2026 call opened on 5 January 2026. Check the internal funding page or L&amp;T newsletter for the next round.</x:v>
      </x:c>
      <x:c r="K43" t="str">
        <x:v>https://www.gla.ac.uk/myglasgow/learningandteaching/staff-support/funding/</x:v>
      </x:c>
      <x:c r="L43" t="str">
        <x:v>UofG Learning &amp; Teaching</x:v>
      </x:c>
      <x:c r="M43" s="54" t="str">
        <x:v>Scholarship</x:v>
      </x:c>
      <x:c r="N43" s="54" t="str">
        <x:v>CLOSED – monitor recurrence</x:v>
      </x:c>
      <x:c r="O43" s="54" t="str">
        <x:v>Added at launch – no notification</x:v>
      </x:c>
      <x:c r="P43" s="58" t="str">
        <x:f>IF(O43&lt;&gt;"Yes","","New funding opportunity added: "&amp;D43)</x:f>
      </x:c>
      <x:c r="Q43" s="58" t="str">
        <x:f>IF(O43&lt;&gt;"Yes","","Hello,"&amp;CHAR(10)&amp;CHAR(10)&amp;"A new funding opportunity has been added to the Funding Finder for Statistics."&amp;CHAR(10)&amp;CHAR(10)&amp;D43&amp;CHAR(10)&amp;CHAR(10)&amp;"Funder: "&amp;C43&amp;CHAR(10)&amp;"Deadline: "&amp;IF(ISNUMBER(B43),TEXT(B43,"d mmmm yyyy"),B43)&amp;CHAR(10)&amp;"Funding and duration: "&amp;F43&amp;CHAR(10)&amp;CHAR(10)&amp;"Who can apply:"&amp;CHAR(10)&amp;G43&amp;CHAR(10)&amp;CHAR(10)&amp;"Why it may be relevant to Statistics:"&amp;CHAR(10)&amp;H43&amp;CHAR(10)&amp;CHAR(10)&amp;"Themes: "&amp;I43&amp;CHAR(10)&amp;CHAR(10)&amp;"Official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43" s="58" t="str">
        <x:f>IF(O43&lt;&gt;"Yes","",HYPERLINK(K43,"View official opportunity"))</x:f>
      </x:c>
      <x:c r="S43" s="58" t="str">
        <x:f>IF(O43&lt;&gt;"Yes","",HYPERLINK("https://uofgstats.github.io/research-and-scholarship/","Open Funding Finder"))</x:f>
      </x:c>
      <x:c r="T43" s="61"/>
    </x:row>
    <x:row r="44">
      <x:c r="A44" s="64" t="str">
        <x:f>IF(AND(ISNUMBER(B44),B44&lt;TODAY()),"DEADLINE PASSED",N44)</x:f>
        <x:v>CLOSED – monitor recurrence</x:v>
      </x:c>
      <x:c r="B44" t="str">
        <x:v>Next call TBC</x:v>
      </x:c>
      <x:c r="C44" t="str">
        <x:v>University of Glasgow</x:v>
      </x:c>
      <x:c r="D44" t="str">
        <x:v>Learning &amp; Teaching Development Fund (LTDF)</x:v>
      </x:c>
      <x:c r="E44" t="str">
        <x:v>Teaching development</x:v>
      </x:c>
      <x:c r="F44" t="str">
        <x:v>Amount and terms available on the UofG staff sign-in page</x:v>
      </x:c>
      <x:c r="G44" t="str">
        <x:v>All University of Glasgow staff may bid; check the internal call for full terms</x:v>
      </x:c>
      <x:c r="H44" t="str">
        <x:v>Relevant for developing and evaluating innovative Statistics teaching, curricula, assessment and inclusive learning practice.</x:v>
      </x:c>
      <x:c r="I44" t="str">
        <x:v>Scholarship; teaching; curriculum; assessment; innovation</x:v>
      </x:c>
      <x:c r="J44" t="str">
        <x:v>The 2026 call opened on 5 January 2026. Check the internal funding page or L&amp;T newsletter for the next round.</x:v>
      </x:c>
      <x:c r="K44" t="str">
        <x:v>https://www.gla.ac.uk/myglasgow/learningandteaching/staff-support/funding/</x:v>
      </x:c>
      <x:c r="L44" t="str">
        <x:v>UofG Learning &amp; Teaching</x:v>
      </x:c>
      <x:c r="M44" s="54" t="str">
        <x:v>Scholarship</x:v>
      </x:c>
      <x:c r="N44" s="54" t="str">
        <x:v>CLOSED – monitor recurrence</x:v>
      </x:c>
      <x:c r="O44" s="54" t="str">
        <x:v>Added at launch – no notification</x:v>
      </x:c>
      <x:c r="P44" s="58" t="str">
        <x:f>IF(O44&lt;&gt;"Yes","","New funding opportunity added: "&amp;D44)</x:f>
      </x:c>
      <x:c r="Q44" s="58" t="str">
        <x:f>IF(O44&lt;&gt;"Yes","","Hello,"&amp;CHAR(10)&amp;CHAR(10)&amp;"A new funding opportunity has been added to the Funding Finder for Statistics."&amp;CHAR(10)&amp;CHAR(10)&amp;D44&amp;CHAR(10)&amp;CHAR(10)&amp;"Funder: "&amp;C44&amp;CHAR(10)&amp;"Deadline: "&amp;IF(ISNUMBER(B44),TEXT(B44,"d mmmm yyyy"),B44)&amp;CHAR(10)&amp;"Funding and duration: "&amp;F44&amp;CHAR(10)&amp;CHAR(10)&amp;"Who can apply:"&amp;CHAR(10)&amp;G44&amp;CHAR(10)&amp;CHAR(10)&amp;"Why it may be relevant to Statistics:"&amp;CHAR(10)&amp;H44&amp;CHAR(10)&amp;CHAR(10)&amp;"Themes: "&amp;I44&amp;CHAR(10)&amp;CHAR(10)&amp;"Official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44" s="58" t="str">
        <x:f>IF(O44&lt;&gt;"Yes","",HYPERLINK(K44,"View official opportunity"))</x:f>
      </x:c>
      <x:c r="S44" s="58" t="str">
        <x:f>IF(O44&lt;&gt;"Yes","",HYPERLINK("https://uofgstats.github.io/research-and-scholarship/","Open Funding Finder"))</x:f>
      </x:c>
      <x:c r="T44" s="61"/>
    </x:row>
    <x:row r="45">
      <x:c r="A45" s="64" t="str">
        <x:f>IF(AND(ISNUMBER(B45),B45&lt;TODAY()),"DEADLINE PASSED",N45)</x:f>
        <x:v>CLOSED – monitor recurrence</x:v>
      </x:c>
      <x:c r="B45" t="str">
        <x:v>Check internal call</x:v>
      </x:c>
      <x:c r="C45" t="str">
        <x:v>University of Glasgow</x:v>
      </x:c>
      <x:c r="D45" t="str">
        <x:v>Student–Staff Partnership Schemes (SSPS)</x:v>
      </x:c>
      <x:c r="E45" t="str">
        <x:v>Student–staff partnership</x:v>
      </x:c>
      <x:c r="F45" t="str">
        <x:v>Funding and terms available on the UofG staff sign-in page</x:v>
      </x:c>
      <x:c r="G45" t="str">
        <x:v>University of Glasgow staff and students working in partnership; check the internal scheme details</x:v>
      </x:c>
      <x:c r="H45" t="str">
        <x:v>Suitable for co-created Statistics projects on curriculum, assessment, belonging, student experience or quantitative learning support.</x:v>
      </x:c>
      <x:c r="I45" t="str">
        <x:v>Scholarship; students as partners; co-creation; student experience</x:v>
      </x:c>
      <x:c r="J45" t="str">
        <x:v>Monitor the internal Learning &amp; Teaching funding page for the next available scheme and deadlines.</x:v>
      </x:c>
      <x:c r="K45" t="str">
        <x:v>https://www.gla.ac.uk/myglasgow/learningandteaching/staff-support/funding/</x:v>
      </x:c>
      <x:c r="L45" t="str">
        <x:v>UofG Learning &amp; Teaching</x:v>
      </x:c>
      <x:c r="M45" s="54" t="str">
        <x:v>Scholarship</x:v>
      </x:c>
      <x:c r="N45" s="54" t="str">
        <x:v>CLOSED – monitor recurrence</x:v>
      </x:c>
      <x:c r="O45" s="54" t="str">
        <x:v>Added at launch – no notification</x:v>
      </x:c>
      <x:c r="P45" s="58" t="str">
        <x:f>IF(O45&lt;&gt;"Yes","","New funding opportunity added: "&amp;D45)</x:f>
      </x:c>
      <x:c r="Q45" s="58" t="str">
        <x:f>IF(O45&lt;&gt;"Yes","","Hello,"&amp;CHAR(10)&amp;CHAR(10)&amp;"A new funding opportunity has been added to the Funding Finder for Statistics."&amp;CHAR(10)&amp;CHAR(10)&amp;D45&amp;CHAR(10)&amp;CHAR(10)&amp;"Funder: "&amp;C45&amp;CHAR(10)&amp;"Deadline: "&amp;IF(ISNUMBER(B45),TEXT(B45,"d mmmm yyyy"),B45)&amp;CHAR(10)&amp;"Funding and duration: "&amp;F45&amp;CHAR(10)&amp;CHAR(10)&amp;"Who can apply:"&amp;CHAR(10)&amp;G45&amp;CHAR(10)&amp;CHAR(10)&amp;"Why it may be relevant to Statistics:"&amp;CHAR(10)&amp;H45&amp;CHAR(10)&amp;CHAR(10)&amp;"Themes: "&amp;I45&amp;CHAR(10)&amp;CHAR(10)&amp;"Official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45" s="58" t="str">
        <x:f>IF(O45&lt;&gt;"Yes","",HYPERLINK(K45,"View official opportunity"))</x:f>
      </x:c>
      <x:c r="S45" s="58" t="str">
        <x:f>IF(O45&lt;&gt;"Yes","",HYPERLINK("https://uofgstats.github.io/research-and-scholarship/","Open Funding Finder"))</x:f>
      </x:c>
      <x:c r="T45" s="61"/>
    </x:row>
    <x:row r="46">
      <x:c r="A46" s="66" t="str">
        <x:f>IF(AND(ISNUMBER(B46),B46&lt;TODAY()),"DEADLINE PASSED",N46)</x:f>
        <x:v>FORTHCOMING</x:v>
      </x:c>
      <x:c r="B46" t="str">
        <x:v>TBC – next academic year</x:v>
      </x:c>
      <x:c r="C46" t="str">
        <x:v>London Mathematical Society</x:v>
      </x:c>
      <x:c r="D46" t="str">
        <x:v>Single-Institution Teaching &amp; Scholarship Project Grants</x:v>
      </x:c>
      <x:c r="E46" t="str">
        <x:v>Teaching and scholarship project</x:v>
      </x:c>
      <x:c r="F46" t="str">
        <x:v>Up to £2,000; project delivered in the academic year following the award</x:v>
      </x:c>
      <x:c r="G46" t="str">
        <x:v>UK mathematical scientists building a teaching and scholarship profile; single-university team; lead below Associate Professor/Reader/Professor level; PhD students ineligible</x:v>
      </x:c>
      <x:c r="H46" t="str">
        <x:v>Excellent fit for a Statistics education project on teaching quality, curriculum, assessment, student experience or outcomes at Glasgow.</x:v>
      </x:c>
      <x:c r="I46" t="str">
        <x:v>Scholarship; mathematics education; curriculum; student success; evaluation</x:v>
      </x:c>
      <x:c r="J46" t="str">
        <x:v>Latest round closed; LMS states that a new call will take place in the next academic year. Monitor the scheme page.</x:v>
      </x:c>
      <x:c r="K46" t="str">
        <x:v>https://www.lms.ac.uk/grants/single-teaching-scholarship</x:v>
      </x:c>
      <x:c r="L46" t="str">
        <x:v>LMS</x:v>
      </x:c>
      <x:c r="M46" s="54" t="str">
        <x:v>Scholarship</x:v>
      </x:c>
      <x:c r="N46" s="54" t="str">
        <x:v>FORTHCOMING</x:v>
      </x:c>
      <x:c r="O46" s="54" t="str">
        <x:v>Added at launch – no notification</x:v>
      </x:c>
      <x:c r="P46" s="58" t="str">
        <x:f>IF(O46&lt;&gt;"Yes","","New funding opportunity added: "&amp;D46)</x:f>
      </x:c>
      <x:c r="Q46" s="58" t="str">
        <x:f>IF(O46&lt;&gt;"Yes","","Hello,"&amp;CHAR(10)&amp;CHAR(10)&amp;"A new funding opportunity has been added to the Funding Finder for Statistics."&amp;CHAR(10)&amp;CHAR(10)&amp;D46&amp;CHAR(10)&amp;CHAR(10)&amp;"Funder: "&amp;C46&amp;CHAR(10)&amp;"Deadline: "&amp;IF(ISNUMBER(B46),TEXT(B46,"d mmmm yyyy"),B46)&amp;CHAR(10)&amp;"Funding and duration: "&amp;F46&amp;CHAR(10)&amp;CHAR(10)&amp;"Who can apply:"&amp;CHAR(10)&amp;G46&amp;CHAR(10)&amp;CHAR(10)&amp;"Why it may be relevant to Statistics:"&amp;CHAR(10)&amp;H46&amp;CHAR(10)&amp;CHAR(10)&amp;"Themes: "&amp;I46&amp;CHAR(10)&amp;CHAR(10)&amp;"Official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46" s="58" t="str">
        <x:f>IF(O46&lt;&gt;"Yes","",HYPERLINK(K46,"View official opportunity"))</x:f>
      </x:c>
      <x:c r="S46" s="58" t="str">
        <x:f>IF(O46&lt;&gt;"Yes","",HYPERLINK("https://uofgstats.github.io/research-and-scholarship/","Open Funding Finder"))</x:f>
      </x:c>
      <x:c r="T46" s="61"/>
    </x:row>
    <x:row r="47">
      <x:c r="A47" s="66" t="str">
        <x:f>IF(AND(ISNUMBER(B47),B47&lt;TODAY()),"DEADLINE PASSED",N47)</x:f>
        <x:v>FORTHCOMING</x:v>
      </x:c>
      <x:c r="B47" t="str">
        <x:v>TBC – next academic year</x:v>
      </x:c>
      <x:c r="C47" t="str">
        <x:v>London Mathematical Society</x:v>
      </x:c>
      <x:c r="D47" t="str">
        <x:v>Collaborative Teaching &amp; Scholarship Project Grants</x:v>
      </x:c>
      <x:c r="E47" t="str">
        <x:v>Collaborative teaching scholarship</x:v>
      </x:c>
      <x:c r="F47" t="str">
        <x:v>Up to £3,000; project delivered in the academic year following the award</x:v>
      </x:c>
      <x:c r="G47" t="str">
        <x:v>UK mathematical scientists across at least two universities; lead below Associate Professor/Reader/Professor level; PhD students ineligible</x:v>
      </x:c>
      <x:c r="H47" t="str">
        <x:v>Strong route for multi-university Statistics education work on curricula, assessment, teaching methods, student experience or outcomes.</x:v>
      </x:c>
      <x:c r="I47" t="str">
        <x:v>Scholarship; collaboration; mathematics education; curriculum; evaluation</x:v>
      </x:c>
      <x:c r="J47" t="str">
        <x:v>Latest round closed; LMS states that a new call will take place in the next academic year. Identify potential partner universities early.</x:v>
      </x:c>
      <x:c r="K47" t="str">
        <x:v>https://www.lms.ac.uk/grants/collaborative-teaching-scholarship</x:v>
      </x:c>
      <x:c r="L47" t="str">
        <x:v>LMS</x:v>
      </x:c>
      <x:c r="M47" s="54" t="str">
        <x:v>Scholarship</x:v>
      </x:c>
      <x:c r="N47" s="54" t="str">
        <x:v>FORTHCOMING</x:v>
      </x:c>
      <x:c r="O47" s="54" t="str">
        <x:v>Added at launch – no notification</x:v>
      </x:c>
      <x:c r="P47" s="58" t="str">
        <x:f>IF(O47&lt;&gt;"Yes","","New funding opportunity added: "&amp;D47)</x:f>
      </x:c>
      <x:c r="Q47" s="58" t="str">
        <x:f>IF(O47&lt;&gt;"Yes","","Hello,"&amp;CHAR(10)&amp;CHAR(10)&amp;"A new funding opportunity has been added to the Funding Finder for Statistics."&amp;CHAR(10)&amp;CHAR(10)&amp;D47&amp;CHAR(10)&amp;CHAR(10)&amp;"Funder: "&amp;C47&amp;CHAR(10)&amp;"Deadline: "&amp;IF(ISNUMBER(B47),TEXT(B47,"d mmmm yyyy"),B47)&amp;CHAR(10)&amp;"Funding and duration: "&amp;F47&amp;CHAR(10)&amp;CHAR(10)&amp;"Who can apply:"&amp;CHAR(10)&amp;G47&amp;CHAR(10)&amp;CHAR(10)&amp;"Why it may be relevant to Statistics:"&amp;CHAR(10)&amp;H47&amp;CHAR(10)&amp;CHAR(10)&amp;"Themes: "&amp;I47&amp;CHAR(10)&amp;CHAR(10)&amp;"Official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47" s="58" t="str">
        <x:f>IF(O47&lt;&gt;"Yes","",HYPERLINK(K47,"View official opportunity"))</x:f>
      </x:c>
      <x:c r="S47" s="58" t="str">
        <x:f>IF(O47&lt;&gt;"Yes","",HYPERLINK("https://uofgstats.github.io/research-and-scholarship/","Open Funding Finder"))</x:f>
      </x:c>
      <x:c r="T47" s="61"/>
    </x:row>
    <x:row r="48">
      <x:c r="A48" s="66" t="str">
        <x:f>IF(AND(ISNUMBER(B48),B48&lt;TODAY()),"DEADLINE PASSED",N48)</x:f>
        <x:v>FORTHCOMING</x:v>
      </x:c>
      <x:c r="B48" t="str">
        <x:v>TBC – next academic year</x:v>
      </x:c>
      <x:c r="C48" t="str">
        <x:v>London Mathematical Society</x:v>
      </x:c>
      <x:c r="D48" t="str">
        <x:v>Scholarship Network Grants</x:v>
      </x:c>
      <x:c r="E48" t="str">
        <x:v>Teaching scholarship network</x:v>
      </x:c>
      <x:c r="F48" t="str">
        <x:v>Up to £1,000 per funding round for remote or in-person networking activity</x:v>
      </x:c>
      <x:c r="G48" t="str">
        <x:v>UK mathematical scientists from at least three HE institutions; applicant below Associate Professor/Reader/Professor level; PhD students ineligible</x:v>
      </x:c>
      <x:c r="H48" t="str">
        <x:v>Useful for building a Statistics education network around assessment, data literacy, inclusive quantitative education or curriculum innovation.</x:v>
      </x:c>
      <x:c r="I48" t="str">
        <x:v>Scholarship; network; mathematics education; events; collaboration</x:v>
      </x:c>
      <x:c r="J48" t="str">
        <x:v>Latest round closed; LMS states that a new call will take place in the next academic year. At least one event is expected to be in person.</x:v>
      </x:c>
      <x:c r="K48" t="str">
        <x:v>https://www.lms.ac.uk/grants/scholarship-networks</x:v>
      </x:c>
      <x:c r="L48" t="str">
        <x:v>LMS</x:v>
      </x:c>
      <x:c r="M48" s="54" t="str">
        <x:v>Scholarship</x:v>
      </x:c>
      <x:c r="N48" s="54" t="str">
        <x:v>FORTHCOMING</x:v>
      </x:c>
      <x:c r="O48" s="54" t="str">
        <x:v>Added at launch – no notification</x:v>
      </x:c>
      <x:c r="P48" s="58" t="str">
        <x:f>IF(O48&lt;&gt;"Yes","","New funding opportunity added: "&amp;D48)</x:f>
      </x:c>
      <x:c r="Q48" s="58" t="str">
        <x:f>IF(O48&lt;&gt;"Yes","","Hello,"&amp;CHAR(10)&amp;CHAR(10)&amp;"A new funding opportunity has been added to the Funding Finder for Statistics."&amp;CHAR(10)&amp;CHAR(10)&amp;D48&amp;CHAR(10)&amp;CHAR(10)&amp;"Funder: "&amp;C48&amp;CHAR(10)&amp;"Deadline: "&amp;IF(ISNUMBER(B48),TEXT(B48,"d mmmm yyyy"),B48)&amp;CHAR(10)&amp;"Funding and duration: "&amp;F48&amp;CHAR(10)&amp;CHAR(10)&amp;"Who can apply:"&amp;CHAR(10)&amp;G48&amp;CHAR(10)&amp;CHAR(10)&amp;"Why it may be relevant to Statistics:"&amp;CHAR(10)&amp;H48&amp;CHAR(10)&amp;CHAR(10)&amp;"Themes: "&amp;I48&amp;CHAR(10)&amp;CHAR(10)&amp;"Official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48" s="58" t="str">
        <x:f>IF(O48&lt;&gt;"Yes","",HYPERLINK(K48,"View official opportunity"))</x:f>
      </x:c>
      <x:c r="S48" s="58" t="str">
        <x:f>IF(O48&lt;&gt;"Yes","",HYPERLINK("https://uofgstats.github.io/research-and-scholarship/","Open Funding Finder"))</x:f>
      </x:c>
      <x:c r="T48" s="61"/>
    </x:row>
    <x:row r="49">
      <x:c r="A49" s="64" t="str">
        <x:f>IF(AND(ISNUMBER(B49),B49&lt;TODAY()),"DEADLINE PASSED",N49)</x:f>
        <x:v>CLOSED – monitor recurrence</x:v>
      </x:c>
      <x:c r="B49" t="str">
        <x:v>Next call TBC</x:v>
      </x:c>
      <x:c r="C49" t="str">
        <x:v>QAA Scotland / CDN / SFC</x:v>
      </x:c>
      <x:c r="D49" t="str">
        <x:v>Scotland’s Tertiary Enhancement Programme (STEP) funded projects</x:v>
      </x:c>
      <x:c r="E49" t="str">
        <x:v>Collaborative educational enhancement</x:v>
      </x:c>
      <x:c r="F49" t="str">
        <x:v>Previous targeted call offered up to £10,000; future call value and terms TBC</x:v>
      </x:c>
      <x:c r="G49" t="str">
        <x:v>Previous call was open to staff and students at Scottish colleges and universities; multi-institution or agency collaboration and student partnership required</x:v>
      </x:c>
      <x:c r="H49" t="str">
        <x:v>Statistics could contribute evaluation design, quantitative evidence and projects supporting diverse learner journeys, assessment and student success.</x:v>
      </x:c>
      <x:c r="I49" t="str">
        <x:v>Scholarship; educational enhancement; student experience; collaboration; evaluation</x:v>
      </x:c>
      <x:c r="J49" t="str">
        <x:v>The verified £10,000 call closed on 3 December 2025. Monitor QAA Scotland and STEP for future funded project calls.</x:v>
      </x:c>
      <x:c r="K49" t="str">
        <x:v>https://www.qaa.ac.uk/scotland/news-events/news/step-calls-for-proposals-for-funded-project</x:v>
      </x:c>
      <x:c r="L49" t="str">
        <x:v>QAA Scotland</x:v>
      </x:c>
      <x:c r="M49" s="54" t="str">
        <x:v>Scholarship</x:v>
      </x:c>
      <x:c r="N49" s="54" t="str">
        <x:v>CLOSED – monitor recurrence</x:v>
      </x:c>
      <x:c r="O49" s="54" t="str">
        <x:v>Added at launch – no notification</x:v>
      </x:c>
      <x:c r="P49" s="58" t="str">
        <x:f>IF(O49&lt;&gt;"Yes","","New funding opportunity added: "&amp;D49)</x:f>
      </x:c>
      <x:c r="Q49" s="58" t="str">
        <x:f>IF(O49&lt;&gt;"Yes","","Hello,"&amp;CHAR(10)&amp;CHAR(10)&amp;"A new funding opportunity has been added to the Funding Finder for Statistics."&amp;CHAR(10)&amp;CHAR(10)&amp;D49&amp;CHAR(10)&amp;CHAR(10)&amp;"Funder: "&amp;C49&amp;CHAR(10)&amp;"Deadline: "&amp;IF(ISNUMBER(B49),TEXT(B49,"d mmmm yyyy"),B49)&amp;CHAR(10)&amp;"Funding and duration: "&amp;F49&amp;CHAR(10)&amp;CHAR(10)&amp;"Who can apply:"&amp;CHAR(10)&amp;G49&amp;CHAR(10)&amp;CHAR(10)&amp;"Why it may be relevant to Statistics:"&amp;CHAR(10)&amp;H49&amp;CHAR(10)&amp;CHAR(10)&amp;"Themes: "&amp;I49&amp;CHAR(10)&amp;CHAR(10)&amp;"Official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49" s="58" t="str">
        <x:f>IF(O49&lt;&gt;"Yes","",HYPERLINK(K49,"View official opportunity"))</x:f>
      </x:c>
      <x:c r="S49" s="58" t="str">
        <x:f>IF(O49&lt;&gt;"Yes","",HYPERLINK("https://uofgstats.github.io/research-and-scholarship/","Open Funding Finder"))</x:f>
      </x:c>
      <x:c r="T49" s="61"/>
    </x:row>
  </x:sheetData>
  <x:conditionalFormatting sqref="A2:A42">
    <x:cfRule type="expression" dxfId="5" priority="1">
      <x:formula>$A2="OPEN"</x:formula>
    </x:cfRule>
    <x:cfRule type="expression" dxfId="6" priority="2">
      <x:formula>$A2="FORTHCOMING"</x:formula>
    </x:cfRule>
    <x:cfRule type="expression" dxfId="7" priority="3">
      <x:formula>LEFT($A2,6)="CLOSED"</x:formula>
    </x:cfRule>
    <x:cfRule type="expression" dxfId="8" priority="4">
      <x:formula>$A2="DEADLINE PASSED"</x:formula>
    </x:cfRule>
  </x:conditionalFormatting>
  <x:conditionalFormatting sqref="A2:A49">
    <x:cfRule type="expression" dxfId="9" priority="5">
      <x:formula>$A2="OPEN"</x:formula>
    </x:cfRule>
    <x:cfRule type="expression" dxfId="10" priority="6">
      <x:formula>$A2="FORTHCOMING"</x:formula>
    </x:cfRule>
    <x:cfRule type="expression" dxfId="11" priority="7">
      <x:formula>LEFT($A2,6)="CLOSED"</x:formula>
    </x:cfRule>
    <x:cfRule type="expression" dxfId="12" priority="8">
      <x:formula>$A2="DEADLINE PASSED"</x:formula>
    </x:cfRule>
  </x:conditionalFormatting>
  <x:dataValidations count="3">
    <x:dataValidation type="list" sqref="M2:M500">
      <x:formula1>"Research,Scholarship,Research and Scholarship"</x:formula1>
    </x:dataValidation>
    <x:dataValidation type="list" sqref="N2:N500">
      <x:formula1>"OPEN,FORTHCOMING,CLOSED – monitor recurrence,CLOSED – invited stage continues"</x:formula1>
    </x:dataValidation>
    <x:dataValidation type="list" sqref="O2:O500">
      <x:formula1>"Yes,No,Added at launch – no notification"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6c2a24e94f46bb"/>
  </x:tableParts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4" customWidth="1"/>
    <x:col min="2" max="2" width="88" customWidth="1"/>
  </x:cols>
  <x:sheetData>
    <x:row r="1" ht="21">
      <x:c r="A1" s="14" t="s">
        <x:v>330</x:v>
      </x:c>
      <x:c r="B1" s="14"/>
    </x:row>
    <x:row r="2" ht="30">
      <x:c r="A2" s="4" t="s">
        <x:v>331</x:v>
      </x:c>
      <x:c r="B2" s="2" t="s">
        <x:v>332</x:v>
      </x:c>
    </x:row>
    <x:row r="3" ht="16">
      <x:c r="A3" s="4" t="s">
        <x:v>333</x:v>
      </x:c>
      <x:c r="B3" s="2" t="str">
        <x:v>1 October 2026</x:v>
      </x:c>
    </x:row>
    <x:row r="4" ht="45">
      <x:c r="A4" s="4" t="s">
        <x:v>334</x:v>
      </x:c>
      <x:c r="B4" s="2" t="s">
        <x:v>335</x:v>
      </x:c>
    </x:row>
    <x:row r="5" ht="45">
      <x:c r="A5" s="4" t="s">
        <x:v>336</x:v>
      </x:c>
      <x:c r="B5" s="2" t="s">
        <x:v>337</x:v>
      </x:c>
    </x:row>
    <x:row r="6" ht="32">
      <x:c r="A6" s="4" t="s">
        <x:v>338</x:v>
      </x:c>
      <x:c r="B6" s="2" t="s">
        <x:v>339</x:v>
      </x:c>
    </x:row>
    <x:row r="7" ht="30">
      <x:c r="A7" s="4" t="s">
        <x:v>340</x:v>
      </x:c>
      <x:c r="B7" s="2" t="s">
        <x:v>341</x:v>
      </x:c>
    </x:row>
    <x:row r="8" ht="16">
      <x:c r="A8" s="4" t="s">
        <x:v>342</x:v>
      </x:c>
      <x:c r="B8" s="2" t="s">
        <x:v>343</x:v>
      </x:c>
    </x:row>
    <x:row r="9" ht="16">
      <x:c r="A9" s="4" t="s">
        <x:v>342</x:v>
      </x:c>
      <x:c r="B9" s="2" t="s">
        <x:v>344</x:v>
      </x:c>
    </x:row>
    <x:row r="10" ht="16">
      <x:c r="A10" s="4" t="s">
        <x:v>342</x:v>
      </x:c>
      <x:c r="B10" s="2" t="s">
        <x:v>214</x:v>
      </x:c>
    </x:row>
    <x:row r="11" ht="16">
      <x:c r="A11" s="4" t="s">
        <x:v>342</x:v>
      </x:c>
      <x:c r="B11" s="2" t="s">
        <x:v>345</x:v>
      </x:c>
    </x:row>
    <x:row r="12" ht="16">
      <x:c r="A12" s="4" t="s">
        <x:v>342</x:v>
      </x:c>
      <x:c r="B12" s="2" t="s">
        <x:v>346</x:v>
      </x:c>
    </x:row>
    <x:row r="13" ht="16">
      <x:c r="A13" s="4" t="s">
        <x:v>342</x:v>
      </x:c>
      <x:c r="B13" s="2" t="s">
        <x:v>347</x:v>
      </x:c>
    </x:row>
    <x:row r="14" ht="16">
      <x:c r="A14" s="4" t="s">
        <x:v>342</x:v>
      </x:c>
      <x:c r="B14" s="2" t="s">
        <x:v>135</x:v>
      </x:c>
    </x:row>
    <x:row r="15" ht="16">
      <x:c r="A15" s="4" t="s">
        <x:v>342</x:v>
      </x:c>
      <x:c r="B15" s="2" t="s">
        <x:v>348</x:v>
      </x:c>
    </x:row>
    <x:row r="16" ht="16">
      <x:c r="A16" s="4" t="s">
        <x:v>342</x:v>
      </x:c>
      <x:c r="B16" s="2" t="s">
        <x:v>322</x:v>
      </x:c>
    </x:row>
    <x:row r="17" ht="16">
      <x:c r="A17" s="4" t="s">
        <x:v>342</x:v>
      </x:c>
      <x:c r="B17" s="2" t="s">
        <x:v>116</x:v>
      </x:c>
    </x:row>
    <x:row r="18" ht="16">
      <x:c r="A18" s="4" t="s">
        <x:v>342</x:v>
      </x:c>
      <x:c r="B18" s="2" t="s">
        <x:v>143</x:v>
      </x:c>
    </x:row>
    <x:row r="19" ht="45">
      <x:c r="A19" s="4" t="s">
        <x:v>349</x:v>
      </x:c>
      <x:c r="B19" s="2" t="s">
        <x:v>350</x:v>
      </x:c>
    </x:row>
    <x:row r="20">
      <x:c r="A20" s="47" t="str">
        <x:v>Research / Scholarship</x:v>
      </x:c>
      <x:c r="B20" s="50" t="str">
        <x:v>Use Research for research funding, research career development, research events, visits and impact activity. Use Scholarship for teaching, learning or educational-development opportunities. Use Research and Scholarship when both apply.</x:v>
      </x:c>
    </x:row>
    <x:row r="21" ht="42.75" customHeight="1">
      <x:c r="A21" s="6" t="s">
        <x:v>351</x:v>
      </x:c>
      <x:c r="B21" s="6" t="s">
        <x:v>352</x:v>
      </x:c>
    </x:row>
    <x:row r="22" ht="15">
      <x:c r="A22" s="7" t="s">
        <x:v>353</x:v>
      </x:c>
      <x:c r="B22" s="5" t="str">
        <x:v>Set Notify? to Yes for a genuinely new opportunity. Existing launch entries are marked Added at launch – no notification.</x:v>
      </x:c>
    </x:row>
    <x:row r="23" ht="15">
      <x:c r="A23" s="7" t="s">
        <x:v>354</x:v>
      </x:c>
      <x:c r="B23" s="5" t="s">
        <x:v>355</x:v>
      </x:c>
    </x:row>
    <x:row r="24" ht="30">
      <x:c r="A24" s="7" t="s">
        <x:v>356</x:v>
      </x:c>
      <x:c r="B24" s="5" t="s">
        <x:v>357</x:v>
      </x:c>
    </x:row>
    <x:row r="25" ht="15">
      <x:c r="A25" s="7" t="s">
        <x:v>358</x:v>
      </x:c>
      <x:c r="B25" s="5" t="s">
        <x:v>359</x:v>
      </x:c>
    </x:row>
  </x:sheetData>
  <x:mergeCells>
    <x:mergeCell ref="A1:B1"/>
  </x:mergeCells>
  <x:pageMargins left="0.7" right="0.7" top="0.75" bottom="0.75" header="0.3" footer="0.3"/>
</x:worksheet>
</file>