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danielacastrocamilo/Dropbox/Glasgow/Admin/ResearchLead4Statistics/research-and-scholarship/"/>
    </mc:Choice>
  </mc:AlternateContent>
  <xr:revisionPtr revIDLastSave="0" documentId="13_ncr:1_{407CE226-3132-9F4A-84B1-E8558E02F3EF}" xr6:coauthVersionLast="47" xr6:coauthVersionMax="47" xr10:uidLastSave="{00000000-0000-0000-0000-000000000000}"/>
  <bookViews>
    <workbookView xWindow="0" yWindow="600" windowWidth="68800" windowHeight="28200" xr2:uid="{00000000-000D-0000-FFFF-FFFF00000000}"/>
  </bookViews>
  <sheets>
    <sheet name="Funding opportunities" sheetId="1" r:id="rId1"/>
    <sheet name="Guide &amp; sour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0" i="1" l="1"/>
  <c r="P70" i="1"/>
  <c r="Q69" i="1"/>
  <c r="P69" i="1"/>
  <c r="Q68" i="1"/>
  <c r="P68" i="1"/>
  <c r="A65" i="1"/>
  <c r="A66" i="1"/>
  <c r="A67" i="1"/>
  <c r="P67" i="1"/>
  <c r="Q67" i="1"/>
  <c r="P65" i="1"/>
  <c r="Q65" i="1"/>
  <c r="P66" i="1"/>
  <c r="Q66" i="1"/>
  <c r="P64" i="1"/>
  <c r="Q64" i="1"/>
  <c r="A64" i="1"/>
  <c r="P63" i="1"/>
  <c r="Q63" i="1"/>
  <c r="A60" i="1"/>
  <c r="A61" i="1"/>
  <c r="A62" i="1"/>
  <c r="A63" i="1"/>
  <c r="P62" i="1"/>
  <c r="Q62" i="1"/>
  <c r="P61" i="1"/>
  <c r="Q61" i="1"/>
  <c r="P60" i="1"/>
  <c r="Q60" i="1"/>
  <c r="Q59" i="1"/>
  <c r="P59" i="1"/>
  <c r="A59" i="1"/>
  <c r="Q58" i="1"/>
  <c r="P58" i="1"/>
  <c r="A58" i="1"/>
  <c r="Q57" i="1"/>
  <c r="P57" i="1"/>
  <c r="A57" i="1"/>
  <c r="Q56" i="1"/>
  <c r="P56" i="1"/>
  <c r="A56" i="1"/>
  <c r="P55" i="1"/>
  <c r="Q55" i="1"/>
  <c r="A55" i="1"/>
  <c r="P54" i="1"/>
  <c r="Q54" i="1"/>
  <c r="A54" i="1"/>
  <c r="P52" i="1"/>
  <c r="Q52" i="1"/>
  <c r="P53" i="1"/>
  <c r="Q53" i="1"/>
  <c r="A53" i="1"/>
  <c r="A52" i="1"/>
  <c r="P51" i="1"/>
  <c r="Q51" i="1"/>
  <c r="A51" i="1"/>
  <c r="A50" i="1"/>
  <c r="Q50" i="1"/>
  <c r="P50" i="1"/>
  <c r="A49" i="1"/>
  <c r="Q49" i="1"/>
  <c r="P49"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2" i="1"/>
  <c r="P48" i="1"/>
  <c r="A48" i="1"/>
  <c r="P47" i="1"/>
  <c r="A47" i="1"/>
  <c r="P46" i="1"/>
  <c r="A46" i="1"/>
  <c r="P45" i="1"/>
  <c r="A45" i="1"/>
  <c r="P44" i="1"/>
  <c r="A44" i="1"/>
  <c r="P43" i="1"/>
  <c r="A43" i="1"/>
  <c r="P42" i="1"/>
  <c r="A42" i="1"/>
  <c r="A41" i="1"/>
  <c r="A40" i="1"/>
  <c r="A39" i="1"/>
  <c r="A38" i="1"/>
  <c r="A37" i="1"/>
  <c r="A36" i="1"/>
  <c r="A35" i="1"/>
  <c r="A34" i="1"/>
  <c r="A33" i="1"/>
  <c r="A32" i="1"/>
  <c r="P31" i="1"/>
  <c r="A31" i="1"/>
  <c r="A30" i="1"/>
  <c r="A29" i="1"/>
  <c r="A28" i="1"/>
  <c r="A27" i="1"/>
  <c r="A26" i="1"/>
  <c r="P25" i="1"/>
  <c r="A25" i="1"/>
  <c r="A24" i="1"/>
  <c r="A23" i="1"/>
  <c r="A22" i="1"/>
  <c r="A21" i="1"/>
  <c r="A20" i="1"/>
  <c r="A19" i="1"/>
  <c r="A18" i="1"/>
  <c r="A17" i="1"/>
  <c r="A16" i="1"/>
  <c r="A15" i="1"/>
  <c r="A14" i="1"/>
  <c r="A13" i="1"/>
  <c r="A12" i="1"/>
  <c r="A11" i="1"/>
  <c r="A10" i="1"/>
  <c r="A9" i="1"/>
  <c r="A8" i="1"/>
  <c r="A7" i="1"/>
  <c r="A6" i="1"/>
  <c r="A5" i="1"/>
  <c r="A4" i="1"/>
  <c r="A3" i="1"/>
  <c r="A2" i="1"/>
  <c r="P41" i="1" l="1"/>
  <c r="P40" i="1"/>
  <c r="P39" i="1"/>
  <c r="P38" i="1"/>
  <c r="P37" i="1"/>
  <c r="P36" i="1"/>
  <c r="P35" i="1"/>
  <c r="P34" i="1"/>
  <c r="P33" i="1"/>
  <c r="P32" i="1"/>
  <c r="P30" i="1"/>
  <c r="P29" i="1"/>
  <c r="P28" i="1"/>
  <c r="P27" i="1"/>
  <c r="P26"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<sst xmlns="http://schemas.openxmlformats.org/spreadsheetml/2006/main" count="1097" uniqueCount="664">
  <si>
    <t>Status</t>
  </si>
  <si>
    <t>Deadline</t>
  </si>
  <si>
    <t>Funder</t>
  </si>
  <si>
    <t>Opportunity</t>
  </si>
  <si>
    <t>Type</t>
  </si>
  <si>
    <t>Funding / duration</t>
  </si>
  <si>
    <t>Who can apply / key restriction</t>
  </si>
  <si>
    <t>Why relevant to Statistics</t>
  </si>
  <si>
    <t>Theme tags</t>
  </si>
  <si>
    <t>Internal action / note</t>
  </si>
  <si>
    <t>Source</t>
  </si>
  <si>
    <t>Source list</t>
  </si>
  <si>
    <t>LMS</t>
  </si>
  <si>
    <t>Scheme 3: Joint Research Groups</t>
  </si>
  <si>
    <t>Network / collaboration</t>
  </si>
  <si>
    <t>Up to £2,400 per academic year</t>
  </si>
  <si>
    <t>UK-based mathematicians; annual scheme</t>
  </si>
  <si>
    <t>Supports sustained mathematical research groups and collaborations.</t>
  </si>
  <si>
    <t>Mathematics; collaboration</t>
  </si>
  <si>
    <t>Very relevant recurring LMS scheme.</t>
  </si>
  <si>
    <t>https://www.lms.ac.uk/grants/calendar</t>
  </si>
  <si>
    <t>ARIA</t>
  </si>
  <si>
    <t>Hypersensory Intelligence: Olfactory Perception – TA1 Open Olfactory Resource</t>
  </si>
  <si>
    <t>Research programme</t>
  </si>
  <si>
    <t>Programme backed by £65m; TA1 call</t>
  </si>
  <si>
    <t>See ARIA call; interdisciplinary teams</t>
  </si>
  <si>
    <t>Potential role for statistics/ML in large-scale chemical-signal data, representation learning and uncertainty.</t>
  </si>
  <si>
    <t>AI/ML; data; health; environment</t>
  </si>
  <si>
    <t>Targeted rather than general Stats opportunity.</t>
  </si>
  <si>
    <t>https://aria.org.uk/opportunity-spaces/nature-inspired-computation/olfactory-perception</t>
  </si>
  <si>
    <t>LMS / HIMR / UKRI</t>
  </si>
  <si>
    <t>LMS Early Career Fellowships</t>
  </si>
  <si>
    <t>Fellowship</t>
  </si>
  <si>
    <t>3–6 months; £1,820/month + £800 allowance; up to £11,720</t>
  </si>
  <si>
    <t>Recent/near-completion PhD mathematicians; UK resident at deadline</t>
  </si>
  <si>
    <t>Excellent bridge funding for graduating Stats PhDs moving to postdoctoral research.</t>
  </si>
  <si>
    <t>ECR; mathematics; fellowship</t>
  </si>
  <si>
    <t>Flag to PGRs and supervisors.</t>
  </si>
  <si>
    <t>https://www.lms.ac.uk/grants/lms-early-career-fellowships</t>
  </si>
  <si>
    <t>Forecasting Tipping Points Phase 2</t>
  </si>
  <si>
    <t>ARIA programme backed by £114m; concept paper then invited full proposal</t>
  </si>
  <si>
    <t>Teams contributing to ocean observing, interannual-to-decadal forecasting or decision-focused climate evidence translation</t>
  </si>
  <si>
    <t>Exceptionally strong fit for environmental statistics, extremes, forecasting, uncertainty quantification, data fusion and AI.</t>
  </si>
  <si>
    <t>Environment; extremes; forecasting; AI</t>
  </si>
  <si>
    <t>Concept paper 9 Oct 14:00 BST; full proposals 2 Dec 14:00 GMT. Very high relevance to group.</t>
  </si>
  <si>
    <t>https://aria.org.uk/opportunity-spaces/resilient-climate-and-ecosystems/forecasting-tipping-points/funding</t>
  </si>
  <si>
    <t>Postgraduate Research Conference Grants (Scheme 8)</t>
  </si>
  <si>
    <t>Conference / ECR</t>
  </si>
  <si>
    <t>Up to £2,500</t>
  </si>
  <si>
    <t>For postgraduate-led research conferences; see LMS eligibility</t>
  </si>
  <si>
    <t>Useful for Statistics PGRs organising specialist meetings.</t>
  </si>
  <si>
    <t>PGR; mathematics; events</t>
  </si>
  <si>
    <t>Also recurring deadline 22 Feb 2027.</t>
  </si>
  <si>
    <t>Celebrating New Appointments (Scheme 9)</t>
  </si>
  <si>
    <t>ECR / event</t>
  </si>
  <si>
    <t>Up to £450–£500</t>
  </si>
  <si>
    <t>Newly appointed mathematicians; see LMS scheme</t>
  </si>
  <si>
    <t>Small, easy-to-use support for new Statistics appointments and research activity.</t>
  </si>
  <si>
    <t>ECR; mathematics</t>
  </si>
  <si>
    <t>Early Career Researcher Travel Grants</t>
  </si>
  <si>
    <t>Travel / collaboration</t>
  </si>
  <si>
    <t>Up to £700</t>
  </si>
  <si>
    <t>UK-based mathematics ECRs: PhD students or within 3 years of PhD (career breaks excluded)</t>
  </si>
  <si>
    <t>Conference travel and research visits for Stats PGRs/ECRs.</t>
  </si>
  <si>
    <t>ECR; travel; mathematics</t>
  </si>
  <si>
    <t>Priority is often given to research visits combined with conference attendance; next deadline 22 Feb 2027.</t>
  </si>
  <si>
    <t>https://www.lms.ac.uk/grants/lms-travel-grants-early-career-researchers</t>
  </si>
  <si>
    <t>RSE</t>
  </si>
  <si>
    <t>Personal Research Fellowships</t>
  </si>
  <si>
    <t>Fellowship / research leave</t>
  </si>
  <si>
    <t>Temporary replacement salary + research costs; up to 12 months</t>
  </si>
  <si>
    <t>Eligible academics in Scottish institutions; research may be in any discipline</t>
  </si>
  <si>
    <t>Directly relevant to Statistics staff seeking protected research time.</t>
  </si>
  <si>
    <t>All disciplines; fellowship</t>
  </si>
  <si>
    <t>Autumn 2026 call. Includes ESS-RSE themed route on Scotland's Biodiversity Pathways.</t>
  </si>
  <si>
    <t>https://rse.org.uk/award/rse-personal-research-fellowships/</t>
  </si>
  <si>
    <t>Research Collaboration Grants</t>
  </si>
  <si>
    <t>Collaboration / network</t>
  </si>
  <si>
    <t>Up to 24 months; see current terms for award value</t>
  </si>
  <si>
    <t>PI in eligible Scottish HEI/FEI/RI/cultural institution; all disciplines/career stages</t>
  </si>
  <si>
    <t>Good fit for interdisciplinary statistical collaborations and building new research networks.</t>
  </si>
  <si>
    <t>All disciplines; collaboration</t>
  </si>
  <si>
    <t>Only one RSE proposal per applicant per funding round; choose best-suited scheme.</t>
  </si>
  <si>
    <t>https://rse.org.uk/award/rse-research-collaboration-grants/</t>
  </si>
  <si>
    <t>Small Research Grants</t>
  </si>
  <si>
    <t>Research grant</t>
  </si>
  <si>
    <t>Up to 12 months; see current terms for award value</t>
  </si>
  <si>
    <t>Eligible Scotland-based researchers; any discipline</t>
  </si>
  <si>
    <t>Useful seed funding for methodological/statistical pilot work and preliminary results.</t>
  </si>
  <si>
    <t>All disciplines; seed</t>
  </si>
  <si>
    <t>Only one RSE proposal per applicant per funding round.</t>
  </si>
  <si>
    <t>https://rse.org.uk/award/rse-small-grants/</t>
  </si>
  <si>
    <t>International Joint Projects</t>
  </si>
  <si>
    <t>International collaboration</t>
  </si>
  <si>
    <t>Up to 2 years; scheme-dependent funding</t>
  </si>
  <si>
    <t>Scotland-based researcher + eligible overseas partner under current partner-academy streams</t>
  </si>
  <si>
    <t>Strong route for building international statistical collaborations.</t>
  </si>
  <si>
    <t>International; collaboration</t>
  </si>
  <si>
    <t>Requires corresponding application to partner academy where applicable.</t>
  </si>
  <si>
    <t>https://rse.org.uk/award/rse-joint-projects/</t>
  </si>
  <si>
    <t>International Bilateral Visits</t>
  </si>
  <si>
    <t>International visit</t>
  </si>
  <si>
    <t>Short-term visits; see country-specific terms</t>
  </si>
  <si>
    <t>Scotland-based researchers collaborating with eligible academy countries</t>
  </si>
  <si>
    <t>Useful for short collaborative visits and developing international grant pipelines.</t>
  </si>
  <si>
    <t>International; travel</t>
  </si>
  <si>
    <t>Autumn 2026 partners include Hungary, Taiwan, Poland, Slovakia and Slovenia.</t>
  </si>
  <si>
    <t>https://rse.org.uk/award/international-bilateral-visits/</t>
  </si>
  <si>
    <t>SAPHIRE Fund</t>
  </si>
  <si>
    <t>£5,000–£19,999 band; see current terms</t>
  </si>
  <si>
    <t>Scottish researchers with partners in eligible Asia-Pacific countries; theme: Climate Change, Biodiversity and Renewable Energy</t>
  </si>
  <si>
    <t>Strong fit for environmental, ecological, climate and renewable-energy statistics.</t>
  </si>
  <si>
    <t>Environment; international; energy</t>
  </si>
  <si>
    <t>Requires relevant existing peer-reviewed project/funding or track record as specified.</t>
  </si>
  <si>
    <t>https://rse.org.uk/award/scotland-asia-partnerships-higher-education-research-fund-saphire/</t>
  </si>
  <si>
    <t>Innovate UK / OLS</t>
  </si>
  <si>
    <t>Advancing innovation in accelerated cancer diagnosis</t>
  </si>
  <si>
    <t>Collaborative innovation</t>
  </si>
  <si>
    <t>Total fund £25.4m</t>
  </si>
  <si>
    <t>Collaboration only; lead may be academic/NHS/business; consortium must include a UK SME claiming funding</t>
  </si>
  <si>
    <t>Relevant where Stats contributes AI, diagnostic modelling, validation, prediction or trial/evaluation methodology.</t>
  </si>
  <si>
    <t>Health; AI/ML; diagnostics</t>
  </si>
  <si>
    <t>Targeted collaboration opportunity, not a general statistics call.</t>
  </si>
  <si>
    <t>https://www.ukri.org/opportunity/advancing-innovation-in-accelerated-cancer-diagnosis/</t>
  </si>
  <si>
    <t>Specific call</t>
  </si>
  <si>
    <t>RSE / Fulbright</t>
  </si>
  <si>
    <t>RSE Fulbright Scholar Award</t>
  </si>
  <si>
    <t>International fellowship / visit</t>
  </si>
  <si>
    <t>Up to 3 months in US</t>
  </si>
  <si>
    <t>UK resident with clear continuing Scotland connection; PhD/equivalent</t>
  </si>
  <si>
    <t>Potentially valuable for established Statistics academics developing US collaborations.</t>
  </si>
  <si>
    <t>International; fellowship</t>
  </si>
  <si>
    <t>2026 themes include climate/environment, economic prosperity, social cohesion/inclusion.</t>
  </si>
  <si>
    <t>https://rse.org.uk/award/fulbright-rse-scholar-award/</t>
  </si>
  <si>
    <t>UKRI</t>
  </si>
  <si>
    <t>Transformative sustainable AI technologies</t>
  </si>
  <si>
    <t>FEC up to £602,500; UKRI funds 80%; up to 24 months</t>
  </si>
  <si>
    <t>UKRI-eligible UK research organisation</t>
  </si>
  <si>
    <t>Strong for Stats/ML work on computationally efficient, sustainable or otherwise lower-impact AI systems.</t>
  </si>
  <si>
    <t>AI/ML; sustainability</t>
  </si>
  <si>
    <t>NOTE: UofG note of interest required — see email sent 26/08.</t>
  </si>
  <si>
    <t>https://www.ukri.org/opportunity/transformative-sustainable-ai-technologies/</t>
  </si>
  <si>
    <t>NERC</t>
  </si>
  <si>
    <t>Exploring the frontiers of environmental research 2026</t>
  </si>
  <si>
    <t>£100,000–£200,000; total fund £8m</t>
  </si>
  <si>
    <t>UK organisation eligible for NERC funding</t>
  </si>
  <si>
    <t>Very strong group fit: novel, curiosity-driven environmental research; statistical methods can underpin transformative environmental science.</t>
  </si>
  <si>
    <t>Environment; methods; interdisciplinary</t>
  </si>
  <si>
    <t>High relevance to environmental/ecological Statistics. Check UofG internal quality-management process.</t>
  </si>
  <si>
    <t>https://www.ukri.org/opportunity/exploring-the-frontiers-of-environmental-research-2026/</t>
  </si>
  <si>
    <t>Emmy Noether Fellowships</t>
  </si>
  <si>
    <t>Fellowship / research support</t>
  </si>
  <si>
    <t>£2,000–£10,000</t>
  </si>
  <si>
    <t>PhD in mathematics/closely related subject; UK university academic; caring-related eligibility</t>
  </si>
  <si>
    <t>Supports maintaining/re-establishing mathematical sciences research around significant caring responsibilities.</t>
  </si>
  <si>
    <t>Mathematics; fellowship; EDI</t>
  </si>
  <si>
    <t>One-year LMS Emmy Noether Fellow title.</t>
  </si>
  <si>
    <t>https://www.lms.ac.uk/news/lms-emmy-noether-fellowships-2026</t>
  </si>
  <si>
    <t>Healthy Planet, Healthy People: Catalyst Awards</t>
  </si>
  <si>
    <t>Community research / seed</t>
  </si>
  <si>
    <t>See current RSE call</t>
  </si>
  <si>
    <t>Interdisciplinary/community-led projects meeting scheme criteria</t>
  </si>
  <si>
    <t>Potential fit for environmental/health statistics where quantitative evaluation is embedded in community-led work.</t>
  </si>
  <si>
    <t>Environment; health; community</t>
  </si>
  <si>
    <t>More targeted than core RSE schemes.</t>
  </si>
  <si>
    <t>https://rse.org.uk/autumn-2026-rse-research-awards-programme-opens-today/</t>
  </si>
  <si>
    <t>Healthy Planet, Healthy People: Change Awards</t>
  </si>
  <si>
    <t>Follow-on / scale-up</t>
  </si>
  <si>
    <t>Up to £75,000</t>
  </si>
  <si>
    <t>For previous Catalyst Award recipients; see current call</t>
  </si>
  <si>
    <t>Relevant only to eligible prior Catalyst projects with statistical/environmental-health components.</t>
  </si>
  <si>
    <t>Environment; health; follow-on</t>
  </si>
  <si>
    <t>Restricted eligibility.</t>
  </si>
  <si>
    <t>Conference and Research Workshop Grants (Scheme 1)</t>
  </si>
  <si>
    <t>Conference / workshop</t>
  </si>
  <si>
    <t>Up to £7,000</t>
  </si>
  <si>
    <t>UK-based mathematician; PhD students not eligible to apply</t>
  </si>
  <si>
    <t>Highly relevant for Statistics workshops, specialist meetings and research events.</t>
  </si>
  <si>
    <t>Mathematics; events</t>
  </si>
  <si>
    <t>Recurring deadlines: 22 Jan and 15 May 2027.</t>
  </si>
  <si>
    <t>https://www.lms.ac.uk/grants/conference-grants-scheme-1</t>
  </si>
  <si>
    <t>Visiting Speakers to the UK (Scheme 2)</t>
  </si>
  <si>
    <t>Visitor / collaboration</t>
  </si>
  <si>
    <t>Up to £2,000 (+ possible caring costs)</t>
  </si>
  <si>
    <t>UK-based mathematician; visitor gives lectures at at least 3 institutions</t>
  </si>
  <si>
    <t>Useful for bringing international statisticians to Glasgow as part of a UK visit.</t>
  </si>
  <si>
    <t>Mathematics; visitor</t>
  </si>
  <si>
    <t>https://www.lms.ac.uk/grants/visits-uk-scheme-2</t>
  </si>
  <si>
    <t>Research Reboot / Research in Pairs (Scheme 4)</t>
  </si>
  <si>
    <t>Research / collaboration</t>
  </si>
  <si>
    <t>Up to £1,600</t>
  </si>
  <si>
    <t>UK-based mathematicians; Research in Pairs excludes PhD applicants</t>
  </si>
  <si>
    <t>Very useful small scheme for focused collaborative statistical research visits.</t>
  </si>
  <si>
    <t>https://www.lms.ac.uk/grants/research-pairs-scheme-4</t>
  </si>
  <si>
    <t>Collaborations with Developing Countries (Scheme 5)</t>
  </si>
  <si>
    <t>Up to £4,000</t>
  </si>
  <si>
    <t>UK-based mathematicians collaborating with eligible countries</t>
  </si>
  <si>
    <t>Useful for international mathematical/statistical collaboration and capacity building.</t>
  </si>
  <si>
    <t>Mathematics; international</t>
  </si>
  <si>
    <t>Atiyah UK-Lebanon Fellowships</t>
  </si>
  <si>
    <t>International fellowship</t>
  </si>
  <si>
    <t>Up to £8,600</t>
  </si>
  <si>
    <t>See LMS country/scheme eligibility</t>
  </si>
  <si>
    <t>Potentially relevant to mathematical sciences collaboration with Lebanon.</t>
  </si>
  <si>
    <t>Targeted geography.</t>
  </si>
  <si>
    <t>Undergraduate Research Bursaries</t>
  </si>
  <si>
    <t>Student research</t>
  </si>
  <si>
    <t>Up to £2,000</t>
  </si>
  <si>
    <t>See LMS scheme; supports undergraduate mathematical research</t>
  </si>
  <si>
    <t>Useful for summer research projects with Statistics students.</t>
  </si>
  <si>
    <t>UG; mathematics</t>
  </si>
  <si>
    <t>Flag to potential supervisors well before deadline.</t>
  </si>
  <si>
    <t>No closing date</t>
  </si>
  <si>
    <t>BBSRC / FAPESP</t>
  </si>
  <si>
    <t>BBSRC Brazil pump-priming award (FAPPA)</t>
  </si>
  <si>
    <t>International seed / collaboration</t>
  </si>
  <si>
    <t>Up to £35,000 at 100% FEC over 2 years</t>
  </si>
  <si>
    <t>UK lead must currently hold relevant BBSRC research funding; São Paulo partner must hold FAPESP grant</t>
  </si>
  <si>
    <t>Relevant for statistical methodology embedded in bioscience collaborations with São Paulo, but eligibility is restrictive.</t>
  </si>
  <si>
    <t>Bioscience; international; Brazil</t>
  </si>
  <si>
    <t>Apply at least 12 weeks before project start.</t>
  </si>
  <si>
    <t>https://www.ukri.org/opportunity/bbsrc-brazil-pump-priming-award-fappa/</t>
  </si>
  <si>
    <t>EPSRC</t>
  </si>
  <si>
    <t>Mathematical Sciences Small Grants</t>
  </si>
  <si>
    <t>FEC up to £100,000; EPSRC 80%; usually up to 12 months</t>
  </si>
  <si>
    <t>Standard EPSRC eligibility; majority of research within Mathematical Sciences remit</t>
  </si>
  <si>
    <t>Core FFS opportunity: ideal for pilot methods, proof-of-principle, short follow-ons, new collaborations and discipline hopping.</t>
  </si>
  <si>
    <t>Mathematics; methods; seed</t>
  </si>
  <si>
    <t>Always open.</t>
  </si>
  <si>
    <t>https://www.ukri.org/opportunity/mathematical-sciences-small-grants/</t>
  </si>
  <si>
    <t>UKRI / core</t>
  </si>
  <si>
    <t>EPSRC Standard Research Grant</t>
  </si>
  <si>
    <t>No stated limit on grant size or duration; EPSRC funds 80% FEC</t>
  </si>
  <si>
    <t>EPSRC-eligible applicants and organisations; research within EPSRC remit</t>
  </si>
  <si>
    <t>Core route for substantial statistical methodology and interdisciplinary mathematical sciences research.</t>
  </si>
  <si>
    <t>Mathematics; methods; interdisciplinary</t>
  </si>
  <si>
    <t>Always open; check current Funding Service guidance before applying.</t>
  </si>
  <si>
    <t>https://www.ukri.org/councils/epsrc/guidance-for-applicants/types-of-funding-we-offer/standard-research/</t>
  </si>
  <si>
    <t>EPSRC New Investigator Award: applicant-led mode</t>
  </si>
  <si>
    <t>ECR research grant</t>
  </si>
  <si>
    <t>Applicant-led; see current call for budget guidance</t>
  </si>
  <si>
    <t>First EPSRC application as project lead; transition to research independence</t>
  </si>
  <si>
    <t>Core opportunity for eligible early-career Statistics academics.</t>
  </si>
  <si>
    <t>https://www.ukri.org/opportunity/?keywords=new+investigator+grant</t>
  </si>
  <si>
    <t>Mathematical Sciences Early Independence Fellowship</t>
  </si>
  <si>
    <t>Maximum award £1.25m</t>
  </si>
  <si>
    <t>PhD plus evidence of career consolidation/productivity and plan for independent niche; Mathematical Sciences remit</t>
  </si>
  <si>
    <t>Core fellowship for mathematical/statistical researchers moving toward independence.</t>
  </si>
  <si>
    <t>Always open as of Sep 2026.</t>
  </si>
  <si>
    <t>https://www.ukri.org/opportunity/?keywords=postdoctoral+fellowships</t>
  </si>
  <si>
    <t>Sep/Oct 2026</t>
  </si>
  <si>
    <t>Enabling AI adoption across science and engineering</t>
  </si>
  <si>
    <t>Total fund £5m; maximum award around £250k (future-opportunities page previously noted figure subject to confirmation)</t>
  </si>
  <si>
    <t>UKRI-eligible research organisations; final eligibility at launch</t>
  </si>
  <si>
    <t>Strong cross-disciplinary route for statisticians applying AI to science and engineering research challenges.</t>
  </si>
  <si>
    <t>AI/ML; interdisciplinary</t>
  </si>
  <si>
    <t>Listed by UKRI for Sep 2026; check launched call for final details.</t>
  </si>
  <si>
    <t>https://www.ukri.org/apply-for-funding/future-research-and-innovation-funding-opportunities/</t>
  </si>
  <si>
    <t>UKRI future</t>
  </si>
  <si>
    <t>Oct 2026</t>
  </si>
  <si>
    <t>What Works Centre for a climate resilient UK</t>
  </si>
  <si>
    <t>NERC Climate Adaptation ICURe Discover</t>
  </si>
  <si>
    <t>Innovation / market exploration</t>
  </si>
  <si>
    <t>Maximum award £2,500; 9-week part-time online programme</t>
  </si>
  <si>
    <t>Researchers/technicians with climate-adaptation ideas; final details at launch</t>
  </si>
  <si>
    <t>Relevant for translating statistical tools/models for climate adaptation into user-facing applications.</t>
  </si>
  <si>
    <t>Climate; innovation; impact</t>
  </si>
  <si>
    <t>Small but potentially useful impact/commercialisation route.</t>
  </si>
  <si>
    <t>Nov 2026</t>
  </si>
  <si>
    <t>Policy Fellowships</t>
  </si>
  <si>
    <t>Policy fellowship</t>
  </si>
  <si>
    <t>Award depends on partnership</t>
  </si>
  <si>
    <t>Early- and mid-career researchers; embedded in UK/devolved government; final details at launch</t>
  </si>
  <si>
    <t>Excellent route for statisticians interested in evidence, data and policy methodology.</t>
  </si>
  <si>
    <t>Policy; fellowship; data</t>
  </si>
  <si>
    <t>Plan-ahead opportunity.</t>
  </si>
  <si>
    <t>UKRI / EPSRC</t>
  </si>
  <si>
    <t>UKRI Research on Research Security Hub</t>
  </si>
  <si>
    <t>Research hub</t>
  </si>
  <si>
    <t>Funding TBC</t>
  </si>
  <si>
    <t>Final eligibility at launch</t>
  </si>
  <si>
    <t>Possible methodological role for statistics/data science in evidence generation and research-security analytics.</t>
  </si>
  <si>
    <t>Data; methods; security</t>
  </si>
  <si>
    <t>Consortium-scale and more peripheral to core Stats.</t>
  </si>
  <si>
    <t>Dec 2026</t>
  </si>
  <si>
    <t>Frontier AI research and development consortia</t>
  </si>
  <si>
    <t>R&amp;D consortium</t>
  </si>
  <si>
    <t>Total fund £50m; up to 10 awards</t>
  </si>
  <si>
    <t>Final details at launch; likely consortium/innovation focused</t>
  </si>
  <si>
    <t>Potentially relevant to ML/AI researchers, especially methodological work within larger consortia.</t>
  </si>
  <si>
    <t>AI/ML; consortium</t>
  </si>
  <si>
    <t>Monitor for academic eligibility and scope.</t>
  </si>
  <si>
    <t>Climate Adaptation, Environment, and Resilience: Ice-free Arctic Ocean</t>
  </si>
  <si>
    <t>Total fund £10m</t>
  </si>
  <si>
    <t>Final details at launch</t>
  </si>
  <si>
    <t>Potential fit for environmental/spatio-temporal statistics, extremes, data fusion and uncertainty quantification.</t>
  </si>
  <si>
    <t>Environment; climate; extremes</t>
  </si>
  <si>
    <t>Likely interdisciplinary consortium opportunity.</t>
  </si>
  <si>
    <t>Feb 2027</t>
  </si>
  <si>
    <t>Future Leaders Fellowships: round 12</t>
  </si>
  <si>
    <t>Total fund around £110m; previous fellowships £300k to &gt;£2m</t>
  </si>
  <si>
    <t>Personal awards; detailed eligibility at launch</t>
  </si>
  <si>
    <t>Major cross-disciplinary fellowship route for future research/innovation leaders in Statistics.</t>
  </si>
  <si>
    <t>Fellowship; all disciplines</t>
  </si>
  <si>
    <t>Important plan-ahead opportunity; likely internal selection at UofG—confirm when launched.</t>
  </si>
  <si>
    <t>University of Glasgow</t>
  </si>
  <si>
    <t>MedTech Innovation Fund</t>
  </si>
  <si>
    <t>Innovation / commercialisation</t>
  </si>
  <si>
    <t>See UofG current-round guidance</t>
  </si>
  <si>
    <t>UofG/GCU staff with salary support to 31 Jul 2027; healthcare/MedTech commercialisation focus</t>
  </si>
  <si>
    <t>Relevant to health statistics/AI where there is a device, diagnostic, software or commercialisable healthcare innovation.</t>
  </si>
  <si>
    <t>Health; AI/ML; innovation</t>
  </si>
  <si>
    <t>2026 round closed 18 Sep. Worth monitoring annually; prior case studies include ML and optimisation.</t>
  </si>
  <si>
    <t>https://www.gla.ac.uk/myglasgow/ris/ieed/innovation/innovationfunds/medtechinnovationfund/</t>
  </si>
  <si>
    <t>SWIFT / EPSRC</t>
  </si>
  <si>
    <t>SWIFT FlexiFund</t>
  </si>
  <si>
    <t>Impact / translation</t>
  </si>
  <si>
    <t>Up to £50,000; 6–12 months</t>
  </si>
  <si>
    <t>UK HEI/research organisation lead + at least one relevant non-academic partner/user/beneficiary; Forth &amp; Tay offshore wind benefit</t>
  </si>
  <si>
    <t>Strong applied fit for wind-energy forecasting, reliability, environmental statistics and data-driven offshore-wind tools.</t>
  </si>
  <si>
    <t>Energy; wind; impact; industry</t>
  </si>
  <si>
    <t>EOI closed 21 Sep; invited full proposal deadline 10 Nov 2026. Monitor future rounds.</t>
  </si>
  <si>
    <t>https://swiftoffshore.co.uk/funding/</t>
  </si>
  <si>
    <t>Funding Finder for Statistics (FFS) – working master list</t>
  </si>
  <si>
    <t>Purpose</t>
  </si>
  <si>
    <t>Curated opportunities likely to be useful to the University of Glasgow Statistics group. Designed as a source table for the Research &amp; Scholarship SharePoint funding finder.</t>
  </si>
  <si>
    <t>Last reviewed</t>
  </si>
  <si>
    <t>Curation rule</t>
  </si>
  <si>
    <t>Included where Statistics/Mathematical Sciences can plausibly lead, where statisticians could be substantive interdisciplinary collaborators, or where the scheme supports career development, visits, events or international collaboration relevant to the group.</t>
  </si>
  <si>
    <t>Status definitions</t>
  </si>
  <si>
    <t>OPEN = live and accepting applications; FORTHCOMING = announced by funder but final call may not yet be live; CLOSED – monitor recurrence = useful recurring/strategic call retained for planning; DEADLINE PASSED = assigned automatically when an exact deadline is before today.</t>
  </si>
  <si>
    <t>Suggested SharePoint filters</t>
  </si>
  <si>
    <t>Status; deadline; funder; type; theme tags; career stage / restriction.</t>
  </si>
  <si>
    <t>Important note</t>
  </si>
  <si>
    <t>Deadlines and eligibility can change. The Source column should be treated as the authoritative link and checked before an application is prepared.</t>
  </si>
  <si>
    <t>Source reviewed</t>
  </si>
  <si>
    <t>CoSE Funding Finder (uploaded workbook)</t>
  </si>
  <si>
    <t>ARIA opportunity spaces and active programme calls</t>
  </si>
  <si>
    <t>London Mathematical Society grants + deadline calendar</t>
  </si>
  <si>
    <t>Royal Society of Edinburgh Research Awards + autumn 2026 summary</t>
  </si>
  <si>
    <t>UKRI future research and innovation funding opportunities timeline (correct as of Sep 2026)</t>
  </si>
  <si>
    <t>University of Glasgow MedTech Innovation Fund</t>
  </si>
  <si>
    <t>Not carried over wholesale</t>
  </si>
  <si>
    <t>The CoSE finder contains many chemistry, engineering and discipline-specific prizes/calls that are not realistic Statistics opportunities. The FFS deliberately keeps only cross-cutting/core mathematical sciences opportunities and targeted application calls with a credible Statistics role.</t>
  </si>
  <si>
    <t>Email draft workflow</t>
  </si>
  <si>
    <t>Use the final six columns of the Funding opportunities table to prepare an Outlook email without sending it automatically.</t>
  </si>
  <si>
    <t>Step 1</t>
  </si>
  <si>
    <t>Step 2</t>
  </si>
  <si>
    <t>Review the generated Email subject and Email body.</t>
  </si>
  <si>
    <t>Step 3</t>
  </si>
  <si>
    <t>Copy the subject and body into Outlook, then copy the two hyperlink cells using Keep Source Formatting.</t>
  </si>
  <si>
    <t>Step 4</t>
  </si>
  <si>
    <t>Review and send the message manually, then enter the date in Notification date.</t>
  </si>
  <si>
    <t>Research / Scholarship</t>
  </si>
  <si>
    <t>Notify?</t>
  </si>
  <si>
    <t>Email subject</t>
  </si>
  <si>
    <t>Email body</t>
  </si>
  <si>
    <t>Notification date</t>
  </si>
  <si>
    <t>Research</t>
  </si>
  <si>
    <t>OPEN</t>
  </si>
  <si>
    <t>FORTHCOMING</t>
  </si>
  <si>
    <t>CLOSED – monitor recurrence</t>
  </si>
  <si>
    <t>CLOSED – invited stage continues</t>
  </si>
  <si>
    <t>Next call TBC</t>
  </si>
  <si>
    <t>Scholarship of Teaching &amp; Learning (SoTL) Fund</t>
  </si>
  <si>
    <t>Teaching and learning scholarship</t>
  </si>
  <si>
    <t>Amount and terms available on the UofG staff sign-in page</t>
  </si>
  <si>
    <t>University of Glasgow staff; check the internal call for full eligibility</t>
  </si>
  <si>
    <t>Strong fit for evaluating statistics teaching, assessment, student learning and evidence-based educational change.</t>
  </si>
  <si>
    <t>Scholarship; teaching; learning; assessment; evaluation</t>
  </si>
  <si>
    <t>The 2026 call opened on 5 January 2026. Check the internal funding page or L&amp;T newsletter for the next round.</t>
  </si>
  <si>
    <t>https://www.gla.ac.uk/myglasgow/learningandteaching/staff-support/funding/</t>
  </si>
  <si>
    <t>UofG Learning &amp; Teaching</t>
  </si>
  <si>
    <t>Scholarship</t>
  </si>
  <si>
    <t>Added at launch – no notification</t>
  </si>
  <si>
    <t>Learning &amp; Teaching Development Fund (LTDF)</t>
  </si>
  <si>
    <t>Teaching development</t>
  </si>
  <si>
    <t>All University of Glasgow staff may bid; check the internal call for full terms</t>
  </si>
  <si>
    <t>Relevant for developing and evaluating innovative Statistics teaching, curricula, assessment and inclusive learning practice.</t>
  </si>
  <si>
    <t>Scholarship; teaching; curriculum; assessment; innovation</t>
  </si>
  <si>
    <t>Check internal call</t>
  </si>
  <si>
    <t>Student–Staff Partnership Schemes (SSPS)</t>
  </si>
  <si>
    <t>Student–staff partnership</t>
  </si>
  <si>
    <t>Funding and terms available on the UofG staff sign-in page</t>
  </si>
  <si>
    <t>University of Glasgow staff and students working in partnership; check the internal scheme details</t>
  </si>
  <si>
    <t>Suitable for co-created Statistics projects on curriculum, assessment, belonging, student experience or quantitative learning support.</t>
  </si>
  <si>
    <t>Scholarship; students as partners; co-creation; student experience</t>
  </si>
  <si>
    <t>Monitor the internal Learning &amp; Teaching funding page for the next available scheme and deadlines.</t>
  </si>
  <si>
    <t>TBC – next academic year</t>
  </si>
  <si>
    <t>London Mathematical Society</t>
  </si>
  <si>
    <t>Single-Institution Teaching &amp; Scholarship Project Grants</t>
  </si>
  <si>
    <t>Teaching and scholarship project</t>
  </si>
  <si>
    <t>Up to £2,000; project delivered in the academic year following the award</t>
  </si>
  <si>
    <t>UK mathematical scientists building a teaching and scholarship profile; single-university team; lead below Associate Professor/Reader/Professor level; PhD students ineligible</t>
  </si>
  <si>
    <t>Excellent fit for a Statistics education project on teaching quality, curriculum, assessment, student experience or outcomes at Glasgow.</t>
  </si>
  <si>
    <t>Scholarship; mathematics education; curriculum; student success; evaluation</t>
  </si>
  <si>
    <t>Latest round closed; LMS states that a new call will take place in the next academic year. Monitor the scheme page.</t>
  </si>
  <si>
    <t>https://www.lms.ac.uk/grants/single-teaching-scholarship</t>
  </si>
  <si>
    <t>Collaborative Teaching &amp; Scholarship Project Grants</t>
  </si>
  <si>
    <t>Collaborative teaching scholarship</t>
  </si>
  <si>
    <t>Up to £3,000; project delivered in the academic year following the award</t>
  </si>
  <si>
    <t>UK mathematical scientists across at least two universities; lead below Associate Professor/Reader/Professor level; PhD students ineligible</t>
  </si>
  <si>
    <t>Strong route for multi-university Statistics education work on curricula, assessment, teaching methods, student experience or outcomes.</t>
  </si>
  <si>
    <t>Scholarship; collaboration; mathematics education; curriculum; evaluation</t>
  </si>
  <si>
    <t>Latest round closed; LMS states that a new call will take place in the next academic year. Identify potential partner universities early.</t>
  </si>
  <si>
    <t>https://www.lms.ac.uk/grants/collaborative-teaching-scholarship</t>
  </si>
  <si>
    <t>Scholarship Network Grants</t>
  </si>
  <si>
    <t>Teaching scholarship network</t>
  </si>
  <si>
    <t>Up to £1,000 per funding round for remote or in-person networking activity</t>
  </si>
  <si>
    <t>UK mathematical scientists from at least three HE institutions; applicant below Associate Professor/Reader/Professor level; PhD students ineligible</t>
  </si>
  <si>
    <t>Useful for building a Statistics education network around assessment, data literacy, inclusive quantitative education or curriculum innovation.</t>
  </si>
  <si>
    <t>Scholarship; network; mathematics education; events; collaboration</t>
  </si>
  <si>
    <t>Latest round closed; LMS states that a new call will take place in the next academic year. At least one event is expected to be in person.</t>
  </si>
  <si>
    <t>https://www.lms.ac.uk/grants/scholarship-networks</t>
  </si>
  <si>
    <t>QAA Scotland / CDN / SFC</t>
  </si>
  <si>
    <t>Scotland’s Tertiary Enhancement Programme (STEP) funded projects</t>
  </si>
  <si>
    <t>Collaborative educational enhancement</t>
  </si>
  <si>
    <t>Previous targeted call offered up to £10,000; future call value and terms TBC</t>
  </si>
  <si>
    <t>Previous call was open to staff and students at Scottish colleges and universities; multi-institution or agency collaboration and student partnership required</t>
  </si>
  <si>
    <t>Statistics could contribute evaluation design, quantitative evidence and projects supporting diverse learner journeys, assessment and student success.</t>
  </si>
  <si>
    <t>Scholarship; educational enhancement; student experience; collaboration; evaluation</t>
  </si>
  <si>
    <t>The verified £10,000 call closed on 3 December 2025. Monitor QAA Scotland and STEP for future funded project calls.</t>
  </si>
  <si>
    <t>https://www.qaa.ac.uk/scotland/news-events/news/step-calls-for-proposals-for-funded-project</t>
  </si>
  <si>
    <t>QAA Scotland</t>
  </si>
  <si>
    <t>1 October 2026</t>
  </si>
  <si>
    <t>Use Research for research funding, research career development, research events, visits and impact activity. Use Scholarship for teaching, learning or educational-development opportunities. Use Research and Scholarship when both apply.</t>
  </si>
  <si>
    <t>Set Notify? to Yes for a genuinely new opportunity. Existing launch entries are marked Added at launch – no notification.</t>
  </si>
  <si>
    <t>Yes</t>
  </si>
  <si>
    <t>-</t>
  </si>
  <si>
    <t>Conception X</t>
  </si>
  <si>
    <t>Venture Scientist 100</t>
  </si>
  <si>
    <t>Entrepreneurship / fellowship</t>
  </si>
  <si>
    <t>Free 9-month part-time venture-building fellowship (Mar–Nov 2027); selected teams can access up to £300k equity investment</t>
  </si>
  <si>
    <t>PhD students at UK/European universities working on innovative technology based on their research; exceptional recent PhD graduates, postdocs and ECRs may also be considered</t>
  </si>
  <si>
    <t>Opportunity for Statistics PhD researchers/ECRs to explore the commercial potential of research, particularly in AI/ML, data science and other technical areas.</t>
  </si>
  <si>
    <t>PGR; ECR; entrepreneurship; innovation; AI/ML</t>
  </si>
  <si>
    <t>Particularly relevant to PhD students with research that could underpin a spin-out or other commercial venture. ~65 hours over 9 months plus 3 mandatory in-person events.</t>
  </si>
  <si>
    <t>https://www.conceptionx.org/venture-scientist-100</t>
  </si>
  <si>
    <t>Conception X; UofG</t>
  </si>
  <si>
    <t>Early–mid March 2027 (TBC)</t>
  </si>
  <si>
    <t>Royal Society / British Academy</t>
  </si>
  <si>
    <t>International Fellowships 2027</t>
  </si>
  <si>
    <t>2 years; salary at 80% FEC + research expenses (2026: up to £12k) + relocation costs (2026: up to £8k)</t>
  </si>
  <si>
    <t>International ECRs based outside the UK; normally ≤5 years active full-time postdoctoral experience. Applicant must have/complete PhD by final awards stage, must not hold UK citizenship, and generally must not have lived/worked/researched in UK during previous 12 months. UK Sponsor required. For 2027, max. 8 applications per UK institution.</t>
  </si>
  <si>
    <t>Opportunity to recruit an international ECR to Glasgow for two years. Mathematics is explicitly within Royal Society remit; potentially relevant across Statistics research areas. Glasgow Statistics academics can act as UK Sponsors.</t>
  </si>
  <si>
    <t>All research areas; ECR; International; Fellowship</t>
  </si>
  <si>
    <t>Institutional demand management applies for 2027: Glasgow can submit max. 8 applications. Check UofG internal selection/deadline when announced. UK Sponsor may support only one application per round. Funding figures currently based on 2026 guidance; update once full 2027 scheme guidance is published.</t>
  </si>
  <si>
    <t>British Academy / Royal Society</t>
  </si>
  <si>
    <t>15 December 2026, 16:00</t>
  </si>
  <si>
    <t>ESRC / UKRI, co-funded by Defra</t>
  </si>
  <si>
    <t>Up to £21.1m funder contribution; 44 months; single award; 80% FEC (with some exceptions at 100%). Must start by 1 August 2027.</t>
  </si>
  <si>
    <t>Researchers based at UK research organisations eligible for UKRI/ESRC funding. At least one project co-lead from a UK business, third-sector or government organisation is required.</t>
  </si>
  <si>
    <t>Major interdisciplinary opportunity with a strong methodological component, explicitly including robust evaluation, experimental and quasi-experimental methods, and causal reasoning, with applications including wildfire, drought, flooding and extreme heat.</t>
  </si>
  <si>
    <t>Climate resilience; environmental statistics; causal inference; evaluation; extremes; interdisciplinary research</t>
  </si>
  <si>
    <t>Demand management applies. Check UofG internal selection process/deadline before preparing an application. Large centre-scale opportunity requiring a broad interdisciplinary consortium and at least one UK non-academic co-lead.</t>
  </si>
  <si>
    <t>Research programme / Centre</t>
  </si>
  <si>
    <t>Manual status</t>
  </si>
  <si>
    <t>https://www.ukri.org/opportunity/what-works-centre-for-a-climate-resilient-uk/</t>
  </si>
  <si>
    <t>Open – no fixed deadline</t>
  </si>
  <si>
    <t>NERC / UKRI</t>
  </si>
  <si>
    <t>NERC urgency funding</t>
  </si>
  <si>
    <t>Up to £100,000 FEC (NERC funds 80%); up to 1 year</t>
  </si>
  <si>
    <t>Researchers at UK organisations eligible for NERC funding. Must respond to an unexpected, transient environmental event; outline required within 4 weeks of the event starting. Applicants cannot have been PL/PcL on another full application to this scheme in the previous 2 years.</t>
  </si>
  <si>
    <t>Strong fit for environmental statistics and extremes, supporting rapid research following unexpected events such as droughts, floods and earthquakes, including collection and initial analysis of critical early data.</t>
  </si>
  <si>
    <t>Environmental statistics; Extremes; Climate &amp; environment; Urgency funding</t>
  </si>
  <si>
    <t>Outline (1 page) must be emailed to NERC within 4 weeks of the event starting. If approved, full application is due within 10 working days of invitation. Intended for genuinely unexpected events where waiting for normal funding would mean losing the research opportunity.</t>
  </si>
  <si>
    <t>https://www.ukri.org/opportunity/nerc-urgency-funding-open/</t>
  </si>
  <si>
    <t>https://www.thebritishacademy.ac.uk/documents/6283/International_Fellowships_2027_-_FAQs.pdf</t>
  </si>
  <si>
    <t>London Mathematical Society (LMS)</t>
  </si>
  <si>
    <t>LMS Emmy Noether Fellowships</t>
  </si>
  <si>
    <t>Fellowship / career support</t>
  </si>
  <si>
    <t>£2,000–£10,000; 1 year</t>
  </si>
  <si>
    <t>Researchers in mathematical sciences with a PhD, based at a UK university/research institute, returning after a major caring-related career break or with significant ongoing caring responsibilities.</t>
  </si>
  <si>
    <t>Open to mathematical sciences researchers, including statisticians; supports maintaining or re-establishing research following caring-related career disruption.</t>
  </si>
  <si>
    <t>All research areas; Career development; Caring responsibilities; Fellowship</t>
  </si>
  <si>
    <t>Funding can support caring costs, travel, research assistance and other support needed to maintain/restart research.</t>
  </si>
  <si>
    <t>https://www.lms.ac.uk/grants/lms-emmy-noether-fellowships</t>
  </si>
  <si>
    <t>LMS Grace Chisholm Young Fellowship</t>
  </si>
  <si>
    <t>£2,000 (£1,500 research support + £500 to host); 1 year</t>
  </si>
  <si>
    <t>Mathematicians/statisticians who have at least submitted their PhD thesis and whose career is interrupted by family responsibilities, partner relocation or similar circumstances; must be affiliated with a UK Mathematics Department/research institute.</t>
  </si>
  <si>
    <t>Available to mathematical sciences researchers, including statisticians, needing support to maintain research activity during a career interruption.</t>
  </si>
  <si>
    <t>All research areas; Career development; Career break; Fellowship</t>
  </si>
  <si>
    <t>Designed to maintain mathematical research activity during a career interruption and support eventual return to an academic/research career.</t>
  </si>
  <si>
    <t>https://www.lms.ac.uk/grants/grace-chisholm-young-fellowships</t>
  </si>
  <si>
    <t>LMS Inclusion and Diversity Fund</t>
  </si>
  <si>
    <t>Up to £1,000</t>
  </si>
  <si>
    <t>For UK-based events/activities promoting inclusion and diversity in mathematics; only one award per applicant per LMS financial year.</t>
  </si>
  <si>
    <t>Can support Statistics events and activities promoting inclusion and diversity, including networking, mentoring and widening participation.</t>
  </si>
  <si>
    <t>EDI; Events; Networking; Widening participation</t>
  </si>
  <si>
    <t>Activities must take place in the UK and have a clear EDI focus within mathematics/mathematical sciences.</t>
  </si>
  <si>
    <t>https://www.lms.ac.uk/grants/lms-inclusion-and-diversity-fund</t>
  </si>
  <si>
    <t>Glasgow Mathematical Journal Trust</t>
  </si>
  <si>
    <t>Learning &amp; Research Support Fund</t>
  </si>
  <si>
    <t>Mathematical sciences activity grant</t>
  </si>
  <si>
    <t>Small grants; exceptionally up to £5,000</t>
  </si>
  <si>
    <t>Applicants proposing mathematical activities with demonstrable benefit to mathematics across Scotland; PGR applicants require a staff financial guarantor.</t>
  </si>
  <si>
    <t>Directly relevant to Statistics: supports conferences, workshops, summer schools, networks, lecture tours, research visits to Scotland and related publications benefiting mathematics in Scotland.</t>
  </si>
  <si>
    <t>Scholarship; mathematical sciences; events; workshops; networks; research visits</t>
  </si>
  <si>
    <t>Three rounds each year: 15 January, 15 April and 15 October. Applications over £3,000 require justification for an exceptional award.</t>
  </si>
  <si>
    <t>https://www.gmjtrust.org/funding/lr-support-fund</t>
  </si>
  <si>
    <t>Next round TBC</t>
  </si>
  <si>
    <t>Team UofG Together Internship Fund</t>
  </si>
  <si>
    <t>Student experience / internship fund</t>
  </si>
  <si>
    <t>Funds student internships; colleagues may apply for up to 300 funded hours</t>
  </si>
  <si>
    <t>UofG colleagues proposing internships that enhance student community, inclusion, belonging or the student experience; current round is closed.</t>
  </si>
  <si>
    <t>Could support Statistics projects on student engagement, belonging, inclusion and targeted support for under-represented student groups.</t>
  </si>
  <si>
    <t>Scholarship; student experience; inclusion; belonging; internships</t>
  </si>
  <si>
    <t>Round 2 is currently closed. Monitor the Student Opportunities Hub for a future round.</t>
  </si>
  <si>
    <t>https://www.gla.ac.uk/myglasgow/careers/finding-jobs/studentopportunitieshub/studentopportunitieshub-staff/</t>
  </si>
  <si>
    <t>UofG Student Opportunities Hub</t>
  </si>
  <si>
    <t>Chancellor's Fund</t>
  </si>
  <si>
    <t>Internal project fund</t>
  </si>
  <si>
    <t>Project funding; award size varies</t>
  </si>
  <si>
    <t>UofG staff and students; applications must align with College/Service strategic aims and be signed by the Head of College/Service. CoSE applications are routed through the School.</t>
  </si>
  <si>
    <t>Broad internal fund that can support Statistics-led projects, including educational, student-experience and engagement activities where aligned with School/College priorities.</t>
  </si>
  <si>
    <t>Scholarship; internal funding; student experience; engagement; project development</t>
  </si>
  <si>
    <t>2026 CoSE School deadline was 8 September; Schools sent ranked applications to College by 15 September. Monitor for the 2027 round.</t>
  </si>
  <si>
    <t>https://www.gla.ac.uk/connect/supportus/supportinspires/chancellorsfund/apply/</t>
  </si>
  <si>
    <t>UofG Chancellor's Fund</t>
  </si>
  <si>
    <t>University of Glasgow / Radboud University</t>
  </si>
  <si>
    <t>Radboud–Glasgow Collaboration Fund</t>
  </si>
  <si>
    <t>International collaboration / teaching &amp; research</t>
  </si>
  <si>
    <t>Up to £20,000 per Research or Learning &amp; Teaching project; 2026–27 projects end by 31 July 2027</t>
  </si>
  <si>
    <t>Academic and professional staff from Glasgow and Radboud; Glasgow applicants need a Radboud collaborator. Project leads must normally hold an eligible employment contract for the funding period.</t>
  </si>
  <si>
    <t>Strong fit for collaborative Statistics research or innovative learning and teaching with Radboud, including interdisciplinary projects and international classroom activity.</t>
  </si>
  <si>
    <t>Scholarship; international collaboration; teaching innovation; research; mobility</t>
  </si>
  <si>
    <t>2026 Research and Learning &amp; Teaching call closed 5 March. Annual/recurring partnership fund: monitor for the next call. Short-term mobility may reopen separately.</t>
  </si>
  <si>
    <t>https://www.gla.ac.uk/explore/internationalisation/funding/radboud/</t>
  </si>
  <si>
    <t>UofG Internationalisation</t>
  </si>
  <si>
    <t>10 Nov 2026 4pm</t>
  </si>
  <si>
    <t>Up to £602,500 FEC; UKRI funds 80% FEC; up to 24 months; projects start 1 Feb 2027</t>
  </si>
  <si>
    <t>Researchers at UK research organisations eligible for UKRI funding. Open to research groups and individuals; standard UKRI individual eligibility applies. Applicants may be involved in max. 2 applications, only 1 as project lead.</t>
  </si>
  <si>
    <t>Strong opportunity for Statistics/ML researchers developing novel AI methodology, particularly methods improving AI efficiency, robustness, reliability and sustainability. Relevant areas could include statistical learning, uncertainty, efficient algorithms and computationally efficient AI.</t>
  </si>
  <si>
    <t>AI; Machine learning; Statistical learning; Sustainable AI; Computational statistics; Methodology</t>
  </si>
  <si>
    <t>High-risk/high-reward call seeking genuinely transformative approaches rather than incremental improvements. Fixed project start date of 1 Feb 2027. Check whether UofG has an internal deadline/process.</t>
  </si>
  <si>
    <t>Research and Scholarship</t>
  </si>
  <si>
    <t>Heilbronn Institute for Mathematical Research (HIMR)</t>
  </si>
  <si>
    <t>HIMR</t>
  </si>
  <si>
    <t>08/11/2026 23:59 GMT</t>
  </si>
  <si>
    <t>Heilbronn Research Fellowships 2027</t>
  </si>
  <si>
    <t>Postdoctoral research fellowship</t>
  </si>
  <si>
    <t>3 years; salary approximately £46,874–£52,517 per year (London weighting where applicable)</t>
  </si>
  <si>
    <t>Researchers in relevant mathematical sciences, including Statistics, probability and data science. Restricted to UK residents who are UK or dual UK nationals and eligible for national security clearance. Appointments at Bristol, Imperial, King's College London, UCL or Manchester.</t>
  </si>
  <si>
    <t>Excellent postdoctoral career opportunity for eligible Statistics PhD graduates and ECRs, particularly those working in probability, statistical methodology, data science and mathematical research.</t>
  </si>
  <si>
    <t>Statistics; Probability; Data science; ECR; Postdoctoral fellowship; Mathematical sciences</t>
  </si>
  <si>
    <t>Requires national security clearance and includes classified research alongside independent research. Applicants submit CV, cover letter, one-page research statement and three references via MathJobs. Interviews expected 11–13 January 2027.</t>
  </si>
  <si>
    <t>https://heilbronn.ac.uk/fellowships/</t>
  </si>
  <si>
    <t>Rolling – verify</t>
  </si>
  <si>
    <t>HIMR Small Grant Call</t>
  </si>
  <si>
    <t>Research activity / event grant</t>
  </si>
  <si>
    <t>Typically up to £5,000; applications up to £10,000 or exceptionally more considered</t>
  </si>
  <si>
    <t>Researchers proposing activities supporting UK mathematical research and the mathematical sciences community; confirm current applicant eligibility</t>
  </si>
  <si>
    <t>Supports Statistics workshops, conferences, research networks, collaborative activities, visiting researchers and PhD student development</t>
  </si>
  <si>
    <t>Statistics; Mathematical sciences; Workshops; Research collaboration; ECR; Training</t>
  </si>
  <si>
    <t>Flexible small-scale support for activities that may not be eligible for other funding. Historical guidance indicates rolling applications; confirm current arrangements</t>
  </si>
  <si>
    <t>https://heilbronn.ac.uk/small-grants-call/</t>
  </si>
  <si>
    <t>HIMR Focused Research Grants</t>
  </si>
  <si>
    <t>Focused research event grant</t>
  </si>
  <si>
    <t>Project-dependent; current award limit not verified</t>
  </si>
  <si>
    <t>Groups of researchers proposing focused mathematical research activities; confirm current eligibility</t>
  </si>
  <si>
    <t>Could fund focused research meetings addressing open problems in statistical methodology, probability, extremes, spatial statistics or computational statistics</t>
  </si>
  <si>
    <t>Statistics; Mathematical sciences; Focused research; Workshops; Collaboration</t>
  </si>
  <si>
    <t>Separate from the Small Grant Call. Designed for focused research meetings. Monitor the next application round and confirm award limits</t>
  </si>
  <si>
    <t>https://heilbronn.ac.uk/frg/</t>
  </si>
  <si>
    <t>Not confirmed</t>
  </si>
  <si>
    <t>HIMR International Visitors Scheme</t>
  </si>
  <si>
    <t>International research visit / collaboration</t>
  </si>
  <si>
    <t>Financial support for eligible international research visits; amount and duration not verified</t>
  </si>
  <si>
    <t>Scheme centred on leading international mathematicians with research interests shared by Heilbronn Fellows; confirm whether applications must be initiated by a Fellow</t>
  </si>
  <si>
    <t>Potentially supports international collaboration in Statistics, probability and related mathematical sciences, particularly through partnerships with Heilbronn Fellows</t>
  </si>
  <si>
    <t>Statistics; Mathematical sciences; International collaboration; Research visits; Networking</t>
  </si>
  <si>
    <t>Restricted relevance: establish a connection with a Heilbronn Fellow before considering an application. Not a general-purpose Glasgow visitor grant</t>
  </si>
  <si>
    <t>ELIGIBILITY TO VERIFY</t>
  </si>
  <si>
    <t>EPSRC SUM4Products Network+</t>
  </si>
  <si>
    <t>SUM4Products Research Project Scheme</t>
  </si>
  <si>
    <t>ndustry–academia research grant</t>
  </si>
  <si>
    <t>Up to 3 months full-time or 6 months part-time; researcher costs funded at 80% FEC, normally with industry co-funding</t>
  </si>
  <si>
    <t>UK university academic mathematical scientist as project lead, working with at least one named industry partner. Researcher may be an RA or eligible PhD student</t>
  </si>
  <si>
    <t>SUM4Products Mini-grants</t>
  </si>
  <si>
    <t>Travel / networking / activity grant</t>
  </si>
  <si>
    <t>Normally up to £500; larger requests may be discussed</t>
  </si>
  <si>
    <t>UK-based SUM4Products network members, generally with previous participation. PhD students eligible with supervisor support. UK travel only</t>
  </si>
  <si>
    <t>Supports applied statistical modelling, uncertainty quantification, experimental design and data-driven research addressing industrial challenges</t>
  </si>
  <si>
    <t>Supports Statistics researchers and PhD students engaging with industry through workshops, conferences, site visits and collaborative activities</t>
  </si>
  <si>
    <t>Industrial collaboration; Applied statistics; Mathematical modelling; Research; Knowledge exchange</t>
  </si>
  <si>
    <t>2026 EOI deadline passed. Monitor next round. Requires an industry partner; no funding for academic lead time when employing a researcher. Projects must relate to formulated products</t>
  </si>
  <si>
    <t>https://www.sum4products.co.uk/research-project-scheme</t>
  </si>
  <si>
    <t>SUM4Products / EPSRC</t>
  </si>
  <si>
    <t>No</t>
  </si>
  <si>
    <t>Industrial collaboration; Networking; Travel; Workshops; PhD; Knowledge exchange</t>
  </si>
  <si>
    <t>Rolling applications; decisions within 4 weeks. Must demonstrate a direct connection to the mathematics of formulated products. Industry co-funding normally expected for co-hosted activities</t>
  </si>
  <si>
    <t>https://www.sum4products.co.uk/flexible-funding</t>
  </si>
  <si>
    <t>Prob_AI Hub</t>
  </si>
  <si>
    <t>Prob_AI Hub Workshop Fund</t>
  </si>
  <si>
    <t>Research workshop / networking grant</t>
  </si>
  <si>
    <t>Up to £10,000 per project</t>
  </si>
  <si>
    <t>Researchers proposing events that bring together mathematical, statistical and computer science communities underpinning probabilistic AI. Detailed eligibility to be confirmed</t>
  </si>
  <si>
    <t>Supports workshops and collaborative activities involving statistical methodology, Bayesian inference, probabilistic modelling and AI, helping build interdisciplinary research partnerships</t>
  </si>
  <si>
    <t>Statistics; Probabilistic AI; Bayesian methods; Machine learning; Workshops; Research collaboration</t>
  </si>
  <si>
    <t>Funding for events that strengthen the probabilistic AI research community, engage research users and stimulate new collaborations. Check full eligibility and eligible costs before applying</t>
  </si>
  <si>
    <t>Prob_AI Hub / AllStat</t>
  </si>
  <si>
    <t>https://www.probai.ac.uk/funding/</t>
  </si>
  <si>
    <t>CHAI (Causality in Healthcare AI Hub)</t>
  </si>
  <si>
    <t>CHAI Catalyst Competition</t>
  </si>
  <si>
    <t>Healthcare AI innovation / seed funding</t>
  </si>
  <si>
    <t>Three awards of £50,000</t>
  </si>
  <si>
    <t>Early-stage healthcare AI innovations with potential for real-world impact; verify full applicant and partnership criteria</t>
  </si>
  <si>
    <t>Relevant to statistical machine learning, causal inference, uncertainty quantification and translation of healthcare AI into practice.</t>
  </si>
  <si>
    <t>Healthcare; AI/ML; Causal inference; Innovation; Impact</t>
  </si>
  <si>
    <t>Applications open 2 Nov 2026; deadline 2 Dec 2026. Targeted opportunity: healthcare application and credible translation pathway required.</t>
  </si>
  <si>
    <t>https://www.chai.ac.uk/catalyst-competition</t>
  </si>
  <si>
    <t>CoSE Innovation Opportunity and Funding newsletter</t>
  </si>
  <si>
    <t>Deadline to confirm</t>
  </si>
  <si>
    <t>EvEx</t>
  </si>
  <si>
    <t>EvEx Associate Fellowships</t>
  </si>
  <si>
    <t>Policy engagement / knowledge exchange fellowship</t>
  </si>
  <si>
    <t>Support to host 3–10 policy fellowships; award value and duration to confirm</t>
  </si>
  <si>
    <t>UK research organisations seeking to host groups of public and civil servants; not an individual academic fellowship</t>
  </si>
  <si>
    <t>Potential for Statistics-led policy engagement, evidence-informed decisions, quantitative evaluation and public-sector collaboration.</t>
  </si>
  <si>
    <t>Policy; Knowledge exchange; Impact; Evidence; Statistics</t>
  </si>
  <si>
    <t>Verify live call, closing date, eligibility and application route. Distinguish Associate Fellowships for host organisations from Policy Fellowships for civil servants. Contact evex@csap.cam.ac.uk.</t>
  </si>
  <si>
    <t>mailto:evex@csap.cam.ac.uk</t>
  </si>
  <si>
    <t>Early 2027 – date TBC</t>
  </si>
  <si>
    <t>EPSRC / STFC (University of Glasgow IAA)</t>
  </si>
  <si>
    <t>EPSRC/STFC Impact Acceleration Account (IAA) – forthcoming calls</t>
  </si>
  <si>
    <t>Impact acceleration / knowledge exchange / commercialisation</t>
  </si>
  <si>
    <t>Funding amounts and project durations to be confirmed in call announcements</t>
  </si>
  <si>
    <t>Likely University of Glasgow researchers; eligibility, eligible costs and project criteria subject to individual IAA calls</t>
  </si>
  <si>
    <t>Supports translation of statistical research, software, AI tools and mathematical methods into impact, partnerships and commercialisation.</t>
  </si>
  <si>
    <t>Impact; Knowledge exchange; Innovation; Industry; AI/ML; Commercialisation</t>
  </si>
  <si>
    <t>Newsletter anticipates new EPSRC/STFC IAA calls in early 2027. Monitor UofG Research &amp; Innovation Services announcements; do not treat as an open call.</t>
  </si>
  <si>
    <t>https://www.gla.ac.uk/myglasgow/ris/</t>
  </si>
  <si>
    <t>UKRI / Biodiversa+</t>
  </si>
  <si>
    <t>Biodiversa+ BiodivFuture — Novel Ecosystems</t>
  </si>
  <si>
    <t>International collaborative research grant</t>
  </si>
  <si>
    <t>Funding varies by national funder; check UKRI guidance</t>
  </si>
  <si>
    <t>UK-based researchers participating in eligible international consortia; UKRI and consortium eligibility to confirm</t>
  </si>
  <si>
    <t>Strong fit for ecological and environmental statistics, biodiversity modelling, spatial statistics and analysis of ecosystem change</t>
  </si>
  <si>
    <t>Ecological statistics; Biodiversity; Spatial statistics; Environmental change; International collaboration</t>
  </si>
  <si>
    <t>Pre-proposal deadline reported as 10 Nov 2026. Verify national eligibility, consortium rules and application stages.</t>
  </si>
  <si>
    <t>https://www.ukri.org/opportunity/biodiversa-2026-to-2027-novel-ecosystems-biodivfuture/</t>
  </si>
  <si>
    <t>CoSE Research &amp; Funding News 05/10/2026</t>
  </si>
  <si>
    <t>New funding opportunity added: Biodiversa+ BiodivFuture — Novel Ecosystems</t>
  </si>
  <si>
    <t>Hello,
A new funding opportunity has been added to the Funding Finder for Statistics.
**Biodiversa+ BiodivFuture — Novel Ecosystems**
Funder: UKRI / Biodiversa+
Deadline: 10/11/2026
Funding and duration: Funding varies by national funder; check UKRI guidance
Who can apply: UK-based researchers participating in eligible international consortia; UKRI and consortium eligibility to confirm
Why it may be relevant to Statistics: Strong fit for ecological and environmental statistics, biodiversity modelling, spatial statistics and analysis of ecosystem change
Themes: Ecological statistics; Biodiversity; Spatial statistics; Environmental change; International collaboration
Official opportunity: https://www.ukri.org/opportunity/biodiversa-2026-to-2027-novel-ecosystems-biodivfuture/
Funding Finder: https://uofgstats.github.io/research-and-scholarship/
Please check the official funder page before preparing an application, as deadlines and eligibility requirements can change.
Best wishes,
Daniela &amp; Vinny
Research Lead for Statistics</t>
  </si>
  <si>
    <t>UKRI / Water4All</t>
  </si>
  <si>
    <t>Water4All 2026 — Sustainable Water Management</t>
  </si>
  <si>
    <t>Eligible researchers in multinational teams; check UK funding rules and partner requirements</t>
  </si>
  <si>
    <t>Relevant to hydrological and environmental statistics, extremes, water-risk modelling and forecasting</t>
  </si>
  <si>
    <t>Environmental statistics; Hydrology; Extremes; Water management; Forecasting; International collaboration</t>
  </si>
  <si>
    <t>Pre-proposal deadline reported as 10 Nov 2026. Verify UK participation, national funding conditions and application stages.</t>
  </si>
  <si>
    <t>https://www.ukri.org/opportunity/water4all-2026-call-sustainable-water-management/</t>
  </si>
  <si>
    <t>New funding opportunity added: Water4All 2026 — Sustainable Water Management</t>
  </si>
  <si>
    <t>Hello,
A new funding opportunity has been added to the Funding Finder for Statistics.
**Water4All 2026 — Sustainable Water Management**
Funder: UKRI / Water4All
Deadline: 10/11/2026
Funding and duration: Funding varies by national funder; check UKRI guidance
Who can apply: Eligible researchers in multinational teams; check UK funding rules and partner requirements
Why it may be relevant to Statistics: Relevant to hydrological and environmental statistics, extremes, water-risk modelling and forecasting
Themes: Environmental statistics; Hydrology; Extremes; Water management; Forecasting; International collaboration
Official opportunity: https://www.ukri.org/opportunity/water4all-2026-call-sustainable-water-management/
Funding Finder: https://uofgstats.github.io/research-and-scholarship/
Please check the official funder page before preparing an application, as deadlines and eligibility requirements can change.
Best wishes,
Daniela &amp; Vinny
Research Lead for Statistics</t>
  </si>
  <si>
    <t>University of Glasgow / CoSE</t>
  </si>
  <si>
    <t>Innovation Cluster Development Fund (ICDF)</t>
  </si>
  <si>
    <t>Internal innovation / commercialisation funding</t>
  </si>
  <si>
    <t>Amount and duration to confirm from internal guidance</t>
  </si>
  <si>
    <t>University of Glasgow applicants; internal criteria and eligible activities to verify</t>
  </si>
  <si>
    <t>Potential support for developing innovation clusters around statistical software, AI, data science and commercialisation</t>
  </si>
  <si>
    <t>Innovation; Knowledge exchange; Statistics; AI; Commercialisation; Collaboration</t>
  </si>
  <si>
    <t>Internal deadline reported as 2 Nov 2026 at noon. Confirm detailed criteria and process with CoSE/RIS.</t>
  </si>
  <si>
    <t>https://www.gla.ac.uk/myglasgow/ris/ieed/innovation/</t>
  </si>
  <si>
    <t>New funding opportunity added: Innovation Cluster Development Fund (ICDF)</t>
  </si>
  <si>
    <t>Hello,
A new funding opportunity has been added to the Funding Finder for Statistics.
**Innovation Cluster Development Fund (ICDF)**
Funder: University of Glasgow / CoSE
Deadline: 02/11/2026
Funding and duration: Amount and duration to confirm from internal guidance
Who can apply: University of Glasgow applicants; internal criteria and eligible activities to verify
Why it may be relevant to Statistics: Potential support for developing innovation clusters around statistical software, AI, data science and commercialisation
Themes: Innovation; Knowledge exchange; Statistics; AI; Commercialisation; Collaboration
Official opportunity: https://www.gla.ac.uk/myglasgow/ris/ieed/innovation/
Funding Finder: https://uofgstats.github.io/research-and-scholarship/
Please check the official funder page before preparing an application, as deadlines and eligibility requirements can change.
Best wishes,
Daniela &amp; Vinny
Research Lead for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</si>
</sst>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 yyyy"/>
    <numFmt numFmtId="165" formatCode="d\ mmm\ yyyy"/>
    <numFmt numFmtId="166" formatCode="d\ mmmm\ yyyy"/>
  </numFmts>
  <fonts count="16">
    <font>
      <sz val="11"/>
      <name val="Carlito"/>
    </font>
    <font>
      <b/>
      <sz val="11"/>
      <color rgb="FFFFFFFF"/>
      <name val="Carlito"/>
    </font>
    <font>
      <b/>
      <sz val="16"/>
      <color rgb="FFFFFFFF"/>
      <name val="Carlito"/>
    </font>
    <font>
      <b/>
      <sz val="11"/>
      <name val="Carlito"/>
    </font>
    <font>
      <sz val="11"/>
      <color rgb="FF7F6000"/>
      <name val="Arial"/>
      <family val="2"/>
    </font>
    <font>
      <sz val="11"/>
      <color rgb="FF1F4E78"/>
      <name val="Arial"/>
      <family val="2"/>
    </font>
    <font>
      <b/>
      <sz val="11"/>
      <color rgb="FFFFFFFF"/>
      <name val="Arial"/>
      <family val="2"/>
    </font>
    <font>
      <b/>
      <sz val="11"/>
      <color rgb="FF17365D"/>
      <name val="Arial"/>
      <family val="2"/>
    </font>
    <font>
      <sz val="11"/>
      <color rgb="FF222222"/>
      <name val="Arial"/>
      <family val="2"/>
    </font>
    <font>
      <b/>
      <sz val="11"/>
      <color rgb="FF990000"/>
      <name val="Arial"/>
      <family val="2"/>
    </font>
    <font>
      <b/>
      <sz val="11"/>
      <color rgb="FF38761D"/>
      <name val="Arial"/>
      <family val="2"/>
    </font>
    <font>
      <b/>
      <sz val="11"/>
      <color rgb="FF7F6000"/>
      <name val="Arial"/>
      <family val="2"/>
    </font>
    <font>
      <b/>
      <sz val="11"/>
      <color rgb="FF595959"/>
      <name val="Arial"/>
      <family val="2"/>
    </font>
    <font>
      <u/>
      <sz val="11"/>
      <color theme="10"/>
      <name val="Carlito"/>
    </font>
    <font>
      <sz val="10"/>
      <name val="Arial Unicode MS"/>
      <family val="2"/>
    </font>
    <font>
      <sz val="11"/>
      <name val="Arial"/>
      <family val="2"/>
    </font>
  </fonts>
  <fills count="22">
    <fill>
      <patternFill patternType="none"/>
    </fill>
    <fill>
      <patternFill patternType="gray125"/>
    </fill>
    <fill>
      <patternFill patternType="solid">
        <fgColor rgb="FF17365D"/>
      </patternFill>
    </fill>
    <fill>
      <patternFill patternType="solid">
        <fgColor rgb="FFD9EAF7"/>
      </patternFill>
    </fill>
    <fill>
      <patternFill patternType="solid">
        <fgColor rgb="FF17365D"/>
      </patternFill>
    </fill>
    <fill>
      <patternFill patternType="solid">
        <fgColor rgb="FFD9EAF7"/>
      </patternFill>
    </fill>
    <fill>
      <patternFill patternType="solid">
        <fgColor rgb="FFF4CCCC"/>
      </patternFill>
    </fill>
    <fill>
      <patternFill patternType="solid">
        <fgColor rgb="FFE2F0D9"/>
      </patternFill>
    </fill>
    <fill>
      <patternFill patternType="solid">
        <fgColor rgb="FFFFF2CC"/>
      </patternFill>
    </fill>
    <fill>
      <patternFill patternType="solid">
        <fgColor rgb="FFFFF2CC"/>
      </patternFill>
    </fill>
    <fill>
      <patternFill patternType="solid">
        <fgColor rgb="FFEAF2F8"/>
      </patternFill>
    </fill>
    <fill>
      <patternFill patternType="solid">
        <fgColor rgb="FF17365D"/>
      </patternFill>
    </fill>
    <fill>
      <patternFill patternType="solid">
        <fgColor rgb="FFD9EAF7"/>
      </patternFill>
    </fill>
    <fill>
      <patternFill patternType="solid">
        <fgColor rgb="FFFFF2CC"/>
      </patternFill>
    </fill>
    <fill>
      <patternFill patternType="solid">
        <fgColor rgb="FFEAF2F8"/>
      </patternFill>
    </fill>
    <fill>
      <patternFill patternType="solid">
        <fgColor rgb="FFE7E6E6"/>
      </patternFill>
    </fill>
    <fill>
      <patternFill patternType="solid">
        <fgColor rgb="FFFFF2CC"/>
        <bgColor indexed="64"/>
      </patternFill>
    </fill>
    <fill>
      <patternFill patternType="solid">
        <fgColor rgb="FFEBF2F9"/>
        <bgColor indexed="64"/>
      </patternFill>
    </fill>
    <fill>
      <patternFill patternType="solid">
        <fgColor rgb="FFC0E6F6"/>
        <bgColor indexed="64"/>
      </patternFill>
    </fill>
    <fill>
      <patternFill patternType="solid">
        <fgColor rgb="FFC0E7F6"/>
        <bgColor indexed="64"/>
      </patternFill>
    </fill>
    <fill>
      <patternFill patternType="solid">
        <fgColor rgb="FFEBF2F9"/>
      </patternFill>
    </fill>
    <fill>
      <patternFill patternType="solid">
        <fgColor rgb="FFEBF3FA"/>
        <bgColor indexed="64"/>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s>
  <cellStyleXfs count="2">
    <xf numFmtId="0" fontId="0" fillId="0" borderId="0"/>
    <xf numFmtId="0" fontId="13" fillId="0" borderId="0" applyNumberFormat="0" applyFill="0" applyBorder="0" applyAlignment="0" applyProtection="0"/>
  </cellStyleXfs>
  <cellXfs count="46">
    <xf numFmtId="0" fontId="0" fillId="0" borderId="0" xfId="0"/>
    <xf numFmtId="0" fontId="1" fillId="2" borderId="0" xfId="0" applyFont="1" applyFill="1" applyAlignment="1">
      <alignment vertical="center" wrapText="1"/>
    </xf>
    <xf numFmtId="0" fontId="0" fillId="0" borderId="0" xfId="0" applyAlignment="1">
      <alignment wrapText="1"/>
    </xf>
    <xf numFmtId="164" fontId="0" fillId="0" borderId="0" xfId="0" applyNumberFormat="1" applyAlignment="1">
      <alignment wrapText="1"/>
    </xf>
    <xf numFmtId="0" fontId="3" fillId="3" borderId="0" xfId="0" applyFont="1" applyFill="1" applyAlignment="1">
      <alignment vertical="top" wrapText="1"/>
    </xf>
    <xf numFmtId="0" fontId="8" fillId="0" borderId="0" xfId="0" applyFont="1" applyAlignment="1">
      <alignment vertical="top" wrapText="1"/>
    </xf>
    <xf numFmtId="0" fontId="6" fillId="4" borderId="0" xfId="0" applyFont="1" applyFill="1" applyAlignment="1">
      <alignment vertical="center" wrapText="1"/>
    </xf>
    <xf numFmtId="0" fontId="7" fillId="5" borderId="0" xfId="0" applyFont="1" applyFill="1" applyAlignment="1">
      <alignment vertical="top"/>
    </xf>
    <xf numFmtId="0" fontId="9" fillId="6" borderId="0" xfId="0" applyFont="1" applyFill="1" applyAlignment="1">
      <alignment vertical="center" wrapText="1"/>
    </xf>
    <xf numFmtId="0" fontId="10" fillId="7" borderId="0" xfId="0" applyFont="1" applyFill="1" applyAlignment="1">
      <alignment vertical="center" wrapText="1"/>
    </xf>
    <xf numFmtId="0" fontId="11" fillId="8" borderId="0" xfId="0" applyFont="1" applyFill="1" applyAlignment="1">
      <alignment vertical="center" wrapText="1"/>
    </xf>
    <xf numFmtId="0" fontId="4" fillId="9" borderId="0" xfId="0" applyFont="1" applyFill="1" applyAlignment="1">
      <alignment horizontal="center" vertical="center"/>
    </xf>
    <xf numFmtId="0" fontId="5" fillId="10" borderId="0" xfId="0" applyFont="1" applyFill="1" applyAlignment="1">
      <alignment vertical="top"/>
    </xf>
    <xf numFmtId="164" fontId="4" fillId="9" borderId="0" xfId="0" applyNumberFormat="1" applyFont="1" applyFill="1" applyAlignment="1">
      <alignment horizontal="center" vertical="center"/>
    </xf>
    <xf numFmtId="0" fontId="6" fillId="11" borderId="0" xfId="0" applyFont="1" applyFill="1" applyAlignment="1">
      <alignment horizontal="center" vertical="center" wrapText="1"/>
    </xf>
    <xf numFmtId="0" fontId="7" fillId="12" borderId="0" xfId="0" applyFont="1" applyFill="1" applyAlignment="1">
      <alignment vertical="top" wrapText="1"/>
    </xf>
    <xf numFmtId="0" fontId="4" fillId="13" borderId="0" xfId="0" applyFont="1" applyFill="1" applyAlignment="1">
      <alignment horizontal="center" vertical="center"/>
    </xf>
    <xf numFmtId="0" fontId="5" fillId="14" borderId="0" xfId="0" applyFont="1" applyFill="1" applyAlignment="1">
      <alignment vertical="top"/>
    </xf>
    <xf numFmtId="0" fontId="12" fillId="15" borderId="0" xfId="0" applyFont="1" applyFill="1" applyAlignment="1">
      <alignment vertical="center"/>
    </xf>
    <xf numFmtId="0" fontId="11" fillId="13" borderId="0" xfId="0" applyFont="1" applyFill="1" applyAlignment="1">
      <alignment vertical="center"/>
    </xf>
    <xf numFmtId="164" fontId="5" fillId="10" borderId="0" xfId="0" applyNumberFormat="1" applyFont="1" applyFill="1" applyAlignment="1">
      <alignment horizontal="left" vertical="top"/>
    </xf>
    <xf numFmtId="0" fontId="13" fillId="0" borderId="0" xfId="1" applyAlignment="1">
      <alignment wrapText="1"/>
    </xf>
    <xf numFmtId="0" fontId="13" fillId="0" borderId="0" xfId="1"/>
    <xf numFmtId="0" fontId="9" fillId="6" borderId="3" xfId="0" applyFont="1" applyFill="1" applyBorder="1" applyAlignment="1">
      <alignment vertical="center" wrapText="1"/>
    </xf>
    <xf numFmtId="165" fontId="0" fillId="0" borderId="0" xfId="0" applyNumberFormat="1"/>
    <xf numFmtId="0" fontId="4" fillId="13" borderId="1" xfId="0" applyFont="1" applyFill="1" applyBorder="1" applyAlignment="1">
      <alignment horizontal="center" vertical="center"/>
    </xf>
    <xf numFmtId="0" fontId="5" fillId="17" borderId="0" xfId="0" applyFont="1" applyFill="1"/>
    <xf numFmtId="164" fontId="4" fillId="13" borderId="2" xfId="0" applyNumberFormat="1" applyFont="1" applyFill="1" applyBorder="1" applyAlignment="1">
      <alignment horizontal="center" vertical="center"/>
    </xf>
    <xf numFmtId="0" fontId="12" fillId="15" borderId="3" xfId="0" applyFont="1" applyFill="1" applyBorder="1" applyAlignment="1">
      <alignment vertical="center"/>
    </xf>
    <xf numFmtId="165" fontId="0" fillId="18" borderId="0" xfId="0" applyNumberFormat="1" applyFill="1"/>
    <xf numFmtId="0" fontId="0" fillId="18" borderId="0" xfId="0" applyFill="1"/>
    <xf numFmtId="0" fontId="0" fillId="18" borderId="0" xfId="0" applyFill="1" applyAlignment="1">
      <alignment wrapText="1"/>
    </xf>
    <xf numFmtId="0" fontId="14" fillId="0" borderId="0" xfId="0" applyFont="1"/>
    <xf numFmtId="0" fontId="15" fillId="17" borderId="0" xfId="0" applyFont="1" applyFill="1"/>
    <xf numFmtId="0" fontId="15" fillId="16" borderId="0" xfId="0" applyFont="1" applyFill="1"/>
    <xf numFmtId="0" fontId="13" fillId="18" borderId="0" xfId="1" applyFill="1"/>
    <xf numFmtId="0" fontId="13" fillId="18" borderId="0" xfId="1" applyFill="1" applyBorder="1"/>
    <xf numFmtId="0" fontId="0" fillId="19" borderId="0" xfId="0" applyFill="1"/>
    <xf numFmtId="0" fontId="9" fillId="6" borderId="4" xfId="0" applyFont="1" applyFill="1" applyBorder="1" applyAlignment="1">
      <alignment vertical="center" wrapText="1"/>
    </xf>
    <xf numFmtId="0" fontId="2" fillId="2" borderId="0" xfId="0" applyFont="1" applyFill="1" applyAlignment="1">
      <alignment wrapText="1"/>
    </xf>
    <xf numFmtId="166" fontId="0" fillId="0" borderId="0" xfId="0" applyNumberFormat="1"/>
    <xf numFmtId="0" fontId="15" fillId="20" borderId="0" xfId="0" applyFont="1" applyFill="1"/>
    <xf numFmtId="166" fontId="0" fillId="18" borderId="0" xfId="0" applyNumberFormat="1" applyFill="1"/>
    <xf numFmtId="0" fontId="0" fillId="21" borderId="0" xfId="0" applyFill="1"/>
    <xf numFmtId="164" fontId="0" fillId="18" borderId="0" xfId="0" applyNumberFormat="1" applyFill="1"/>
    <xf numFmtId="164" fontId="0" fillId="0" borderId="0" xfId="0" applyNumberFormat="1"/>
  </cellXfs>
  <cellStyles count="2">
    <cellStyle name="Hyperlink" xfId="1" builtinId="8"/>
    <cellStyle name="Normal" xfId="0" builtinId="0"/>
  </cellStyles>
  <dxfs count="25">
    <dxf>
      <font>
        <b/>
        <color rgb="FF990000"/>
      </font>
      <fill>
        <patternFill>
          <bgColor rgb="FFF4CCCC"/>
        </patternFill>
      </fill>
    </dxf>
    <dxf>
      <font>
        <b/>
        <color rgb="FF595959"/>
      </font>
      <fill>
        <patternFill>
          <bgColor rgb="FFE7E6E6"/>
        </patternFill>
      </fill>
    </dxf>
    <dxf>
      <font>
        <b/>
        <color rgb="FF7F6000"/>
      </font>
      <fill>
        <patternFill>
          <bgColor rgb="FFFFF2CC"/>
        </patternFill>
      </fill>
    </dxf>
    <dxf>
      <font>
        <b/>
        <color rgb="FF38761D"/>
      </font>
      <fill>
        <patternFill>
          <bgColor rgb="FFE2F0D9"/>
        </patternFill>
      </fill>
    </dxf>
    <dxf>
      <font>
        <b/>
        <color rgb="FF990000"/>
      </font>
      <fill>
        <patternFill>
          <bgColor rgb="FFF4CCCC"/>
        </patternFill>
      </fill>
    </dxf>
    <dxf>
      <font>
        <b/>
        <color rgb="FF595959"/>
      </font>
      <fill>
        <patternFill>
          <bgColor rgb="FFE7E6E6"/>
        </patternFill>
      </fill>
    </dxf>
    <dxf>
      <font>
        <b/>
        <color rgb="FF7F6000"/>
      </font>
      <fill>
        <patternFill>
          <bgColor rgb="FFFFF2CC"/>
        </patternFill>
      </fill>
    </dxf>
    <dxf>
      <font>
        <b/>
        <color rgb="FF38761D"/>
      </font>
      <fill>
        <patternFill>
          <bgColor rgb="FFE2F0D9"/>
        </patternFill>
      </fill>
    </dxf>
    <dxf>
      <font>
        <b/>
        <color rgb="FF990000"/>
      </font>
      <fill>
        <patternFill>
          <bgColor rgb="FFF4CCCC"/>
        </patternFill>
      </fill>
    </dxf>
    <dxf>
      <font>
        <b/>
        <color rgb="FF595959"/>
      </font>
      <fill>
        <patternFill>
          <bgColor rgb="FFE7E6E6"/>
        </patternFill>
      </fill>
    </dxf>
    <dxf>
      <font>
        <b/>
        <color rgb="FF7F6000"/>
      </font>
      <fill>
        <patternFill>
          <bgColor rgb="FFFFF2CC"/>
        </patternFill>
      </fill>
    </dxf>
    <dxf>
      <font>
        <b/>
        <color rgb="FF38761D"/>
      </font>
      <fill>
        <patternFill>
          <bgColor rgb="FFE2F0D9"/>
        </patternFill>
      </fill>
    </dxf>
    <dxf>
      <font>
        <b/>
        <color rgb="FF990000"/>
      </font>
      <fill>
        <patternFill>
          <bgColor rgb="FFF4CCCC"/>
        </patternFill>
      </fill>
    </dxf>
    <dxf>
      <font>
        <b/>
        <color rgb="FF595959"/>
      </font>
      <fill>
        <patternFill>
          <bgColor rgb="FFE7E6E6"/>
        </patternFill>
      </fill>
    </dxf>
    <dxf>
      <font>
        <b/>
        <color rgb="FF7F6000"/>
      </font>
      <fill>
        <patternFill>
          <bgColor rgb="FFFFF2CC"/>
        </patternFill>
      </fill>
    </dxf>
    <dxf>
      <font>
        <b/>
        <color rgb="FF38761D"/>
      </font>
      <fill>
        <patternFill>
          <bgColor rgb="FFE2F0D9"/>
        </patternFill>
      </fill>
    </dxf>
    <dxf>
      <font>
        <b/>
        <color rgb="FF990000"/>
      </font>
      <fill>
        <patternFill>
          <bgColor rgb="FFF4CCCC"/>
        </patternFill>
      </fill>
    </dxf>
    <dxf>
      <font>
        <b/>
        <color rgb="FF595959"/>
      </font>
      <fill>
        <patternFill>
          <bgColor rgb="FFE7E6E6"/>
        </patternFill>
      </fill>
    </dxf>
    <dxf>
      <font>
        <b/>
        <color rgb="FF7F6000"/>
      </font>
      <fill>
        <patternFill>
          <bgColor rgb="FFFFF2CC"/>
        </patternFill>
      </fill>
    </dxf>
    <dxf>
      <font>
        <b/>
        <color rgb="FF38761D"/>
      </font>
      <fill>
        <patternFill>
          <bgColor rgb="FFE2F0D9"/>
        </patternFill>
      </fill>
    </dxf>
    <dxf>
      <font>
        <b/>
        <color rgb="FF990000"/>
      </font>
      <fill>
        <patternFill>
          <bgColor rgb="FFF4CCCC"/>
        </patternFill>
      </fill>
    </dxf>
    <dxf>
      <font>
        <b/>
        <color rgb="FF595959"/>
      </font>
      <fill>
        <patternFill>
          <bgColor rgb="FFE7E6E6"/>
        </patternFill>
      </fill>
    </dxf>
    <dxf>
      <font>
        <b/>
        <color rgb="FF7F6000"/>
      </font>
      <fill>
        <patternFill>
          <bgColor rgb="FFFFF2CC"/>
        </patternFill>
      </fill>
    </dxf>
    <dxf>
      <font>
        <b/>
        <color rgb="FF38761D"/>
      </font>
      <fill>
        <patternFill>
          <bgColor rgb="FFE2F0D9"/>
        </patternFill>
      </fill>
    </dxf>
    <dxf>
      <alignment horizontal="left" vertical="top" textRotation="0" wrapText="0" indent="0" justifyLastLine="0" shrinkToFit="0" readingOrder="0"/>
    </dxf>
  </dxfs>
  <tableStyles count="0" defaultTableStyle="TableStyleMedium2" defaultPivotStyle="PivotStyleLight16"/>
  <colors>
    <mruColors>
      <color rgb="FFEBF3FA"/>
      <color rgb="FFC0E7F6"/>
      <color rgb="FF1F4E78"/>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ndingFinderStats" displayName="FundingFinderStats" ref="A1:R55" totalsRowShown="0">
  <autoFilter ref="A1:R55" xr:uid="{00000000-0009-0000-0100-000001000000}"/>
  <tableColumns count="18">
    <tableColumn id="1" xr3:uid="{00000000-0010-0000-0000-000001000000}" name="Status">
      <calculatedColumnFormula>IF(AND(ISNUMBER(B2),B2&lt;TODAY()),"DEADLINE PASSED",N2)</calculatedColumnFormula>
    </tableColumn>
    <tableColumn id="2" xr3:uid="{00000000-0010-0000-0000-000002000000}" name="Deadline"/>
    <tableColumn id="3" xr3:uid="{00000000-0010-0000-0000-000003000000}" name="Funder"/>
    <tableColumn id="4" xr3:uid="{00000000-0010-0000-0000-000004000000}" name="Opportunity"/>
    <tableColumn id="5" xr3:uid="{00000000-0010-0000-0000-000005000000}" name="Type"/>
    <tableColumn id="6" xr3:uid="{00000000-0010-0000-0000-000006000000}" name="Funding / duration"/>
    <tableColumn id="7" xr3:uid="{00000000-0010-0000-0000-000007000000}" name="Who can apply / key restriction"/>
    <tableColumn id="8" xr3:uid="{00000000-0010-0000-0000-000008000000}" name="Why relevant to Statistics"/>
    <tableColumn id="9" xr3:uid="{00000000-0010-0000-0000-000009000000}" name="Theme tags"/>
    <tableColumn id="10" xr3:uid="{00000000-0010-0000-0000-00000A000000}" name="Internal action / note"/>
    <tableColumn id="11" xr3:uid="{00000000-0010-0000-0000-00000B000000}" name="Source"/>
    <tableColumn id="12" xr3:uid="{00000000-0010-0000-0000-00000C000000}" name="Source list"/>
    <tableColumn id="13" xr3:uid="{00000000-0010-0000-0000-00000D000000}" name="Research / Scholarship"/>
    <tableColumn id="14" xr3:uid="{00000000-0010-0000-0000-00000E000000}" name="Manual status"/>
    <tableColumn id="15" xr3:uid="{00000000-0010-0000-0000-00000F000000}" name="Notify?"/>
    <tableColumn id="16" xr3:uid="{00000000-0010-0000-0000-000010000000}" name="Email subject"/>
    <tableColumn id="17" xr3:uid="{00000000-0010-0000-0000-000011000000}" name="Email body" dataDxfId="24">
      <calculatedColumnFormula>IF(O2&lt;&gt;"Yes","","Hello,"&amp;CHAR(10)&amp;CHAR(10)&amp;"A new funding opportunity has been added to the Funding Finder for Statistics."&amp;CHAR(10)&amp;CHAR(10)&amp;"**"&amp;D2&amp;"**"&amp;CHAR(10)&amp;CHAR(10)&amp;"Funder: "&amp;C2&amp;CHAR(10)&amp;"Deadline: "&amp;IF(ISNUMBER(B2),TEXT(B2,"d mmmm yyyy"),B2)&amp;CHAR(10)&amp;"Funding and duration: "&amp;F2&amp;CHAR(10)&amp;CHAR(10)&amp;"Who can apply: "&amp;G2&amp;CHAR(10)&amp;CHAR(10)&amp;"Why it may be relevant to Statistics: "&amp;H2&amp;CHAR(10)&amp;CHAR(10)&amp;"Themes: "&amp;I2&amp;CHAR(10)&amp;CHAR(10)&amp;"Official opportunity: "&amp;K2&amp;CHAR(10)&amp;CHAR(10)&amp;"Funding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calculatedColumnFormula>
    </tableColumn>
    <tableColumn id="20" xr3:uid="{00000000-0010-0000-0000-000014000000}" name="Notification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eilbronn.ac.uk/small-grants-call/" TargetMode="External"/><Relationship Id="rId13" Type="http://schemas.openxmlformats.org/officeDocument/2006/relationships/hyperlink" Target="https://www.probai.ac.uk/funding/" TargetMode="External"/><Relationship Id="rId3" Type="http://schemas.openxmlformats.org/officeDocument/2006/relationships/hyperlink" Target="https://www.ukri.org/opportunity/nerc-urgency-funding-open/" TargetMode="External"/><Relationship Id="rId7" Type="http://schemas.openxmlformats.org/officeDocument/2006/relationships/hyperlink" Target="https://heilbronn.ac.uk/fellowships/" TargetMode="External"/><Relationship Id="rId12" Type="http://schemas.openxmlformats.org/officeDocument/2006/relationships/hyperlink" Target="https://www.sum4products.co.uk/flexible-funding" TargetMode="External"/><Relationship Id="rId2" Type="http://schemas.openxmlformats.org/officeDocument/2006/relationships/hyperlink" Target="https://www.ukri.org/opportunity/what-works-centre-for-a-climate-resilient-uk/" TargetMode="External"/><Relationship Id="rId1" Type="http://schemas.openxmlformats.org/officeDocument/2006/relationships/hyperlink" Target="https://www.conceptionx.org/venture-scientist-100" TargetMode="External"/><Relationship Id="rId6" Type="http://schemas.openxmlformats.org/officeDocument/2006/relationships/hyperlink" Target="https://www.lms.ac.uk/grants/lms-inclusion-and-diversity-fund" TargetMode="External"/><Relationship Id="rId11" Type="http://schemas.openxmlformats.org/officeDocument/2006/relationships/hyperlink" Target="https://www.sum4products.co.uk/research-project-scheme" TargetMode="External"/><Relationship Id="rId5" Type="http://schemas.openxmlformats.org/officeDocument/2006/relationships/hyperlink" Target="https://www.lms.ac.uk/grants/grace-chisholm-young-fellowships" TargetMode="External"/><Relationship Id="rId10" Type="http://schemas.openxmlformats.org/officeDocument/2006/relationships/hyperlink" Target="https://heilbronn.ac.uk/frg/" TargetMode="External"/><Relationship Id="rId4" Type="http://schemas.openxmlformats.org/officeDocument/2006/relationships/hyperlink" Target="https://www.lms.ac.uk/grants/lms-emmy-noether-fellowships" TargetMode="External"/><Relationship Id="rId9" Type="http://schemas.openxmlformats.org/officeDocument/2006/relationships/hyperlink" Target="https://heilbronn.ac.uk/frg/"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
  <sheetViews>
    <sheetView tabSelected="1" topLeftCell="E1" zoomScale="110" zoomScaleNormal="110" workbookViewId="0">
      <pane ySplit="1" topLeftCell="A55" activePane="bottomLeft" state="frozen"/>
      <selection pane="bottomLeft" activeCell="L66" sqref="L66"/>
    </sheetView>
  </sheetViews>
  <sheetFormatPr baseColWidth="10" defaultColWidth="8.83203125" defaultRowHeight="15"/>
  <cols>
    <col min="1" max="1" width="18" customWidth="1"/>
    <col min="2" max="2" width="16" customWidth="1"/>
    <col min="3" max="3" width="22" customWidth="1"/>
    <col min="4" max="4" width="42" customWidth="1"/>
    <col min="5" max="5" width="22" customWidth="1"/>
    <col min="6" max="6" width="30" customWidth="1"/>
    <col min="7" max="7" width="40" customWidth="1"/>
    <col min="8" max="8" width="48" customWidth="1"/>
    <col min="9" max="9" width="28" customWidth="1"/>
    <col min="10" max="10" width="42" customWidth="1"/>
    <col min="11" max="11" width="50" customWidth="1"/>
    <col min="12" max="12" width="18" customWidth="1"/>
    <col min="13" max="13" width="24" customWidth="1"/>
    <col min="14" max="14" width="27" customWidth="1"/>
    <col min="15" max="15" width="34" customWidth="1"/>
    <col min="16" max="16" width="32" customWidth="1"/>
    <col min="17" max="17" width="48" customWidth="1"/>
    <col min="18" max="18" width="17" customWidth="1"/>
  </cols>
  <sheetData>
    <row r="1" spans="1:18" ht="80.25" customHeight="1">
      <c r="A1" s="1" t="s">
        <v>0</v>
      </c>
      <c r="B1" s="1" t="s">
        <v>1</v>
      </c>
      <c r="C1" s="1" t="s">
        <v>2</v>
      </c>
      <c r="D1" s="1" t="s">
        <v>3</v>
      </c>
      <c r="E1" s="1" t="s">
        <v>4</v>
      </c>
      <c r="F1" s="1" t="s">
        <v>5</v>
      </c>
      <c r="G1" s="1" t="s">
        <v>6</v>
      </c>
      <c r="H1" s="1" t="s">
        <v>7</v>
      </c>
      <c r="I1" s="1" t="s">
        <v>8</v>
      </c>
      <c r="J1" s="1" t="s">
        <v>9</v>
      </c>
      <c r="K1" s="1" t="s">
        <v>10</v>
      </c>
      <c r="L1" s="1" t="s">
        <v>11</v>
      </c>
      <c r="M1" s="14" t="s">
        <v>353</v>
      </c>
      <c r="N1" s="14" t="s">
        <v>456</v>
      </c>
      <c r="O1" s="14" t="s">
        <v>354</v>
      </c>
      <c r="P1" s="14" t="s">
        <v>355</v>
      </c>
      <c r="Q1" s="14" t="s">
        <v>356</v>
      </c>
      <c r="R1" s="14" t="s">
        <v>357</v>
      </c>
    </row>
    <row r="2" spans="1:18" ht="32">
      <c r="A2" s="8" t="str">
        <f t="shared" ref="A2:A41" ca="1" si="0">IF(AND(ISNUMBER(B2),B2&lt;TODAY()),"DEADLINE PASSED",N2)</f>
        <v>DEADLINE PASSED</v>
      </c>
      <c r="B2" s="3">
        <v>46295</v>
      </c>
      <c r="C2" s="2" t="s">
        <v>12</v>
      </c>
      <c r="D2" s="2" t="s">
        <v>13</v>
      </c>
      <c r="E2" s="2" t="s">
        <v>14</v>
      </c>
      <c r="F2" s="2" t="s">
        <v>15</v>
      </c>
      <c r="G2" s="2" t="s">
        <v>16</v>
      </c>
      <c r="H2" s="2" t="s">
        <v>17</v>
      </c>
      <c r="I2" s="2" t="s">
        <v>18</v>
      </c>
      <c r="J2" s="2" t="s">
        <v>19</v>
      </c>
      <c r="K2" s="2" t="s">
        <v>20</v>
      </c>
      <c r="L2" s="2" t="s">
        <v>12</v>
      </c>
      <c r="M2" s="11" t="s">
        <v>358</v>
      </c>
      <c r="N2" s="11" t="s">
        <v>359</v>
      </c>
      <c r="O2" s="11" t="s">
        <v>374</v>
      </c>
      <c r="P2" s="12" t="str">
        <f t="shared" ref="P2:P41" si="1">IF(O2&lt;&gt;"Yes","","New funding opportunity added: "&amp;D2)</f>
        <v/>
      </c>
      <c r="Q2" s="20" t="str">
        <f>IF(O2&lt;&gt;"Yes","","Hello,"&amp;CHAR(10)&amp;CHAR(10)&amp;"A new funding opportunity has been added to the Funding Finder for Statistics."&amp;CHAR(10)&amp;CHAR(10)&amp;"**"&amp;D2&amp;"**"&amp;CHAR(10)&amp;CHAR(10)&amp;"Funder: "&amp;C2&amp;CHAR(10)&amp;"Deadline: "&amp;IF(ISNUMBER(B2),TEXT(B2,"d mmmm yyyy"),B2)&amp;CHAR(10)&amp;"Funding and duration: "&amp;F2&amp;CHAR(10)&amp;CHAR(10)&amp;"Who can apply: "&amp;G2&amp;CHAR(10)&amp;CHAR(10)&amp;"Why it may be relevant to Statistics: "&amp;H2&amp;CHAR(10)&amp;CHAR(10)&amp;"Themes: "&amp;I2&amp;CHAR(10)&amp;CHAR(10)&amp;"Official opportunity: "&amp;K2&amp;CHAR(10)&amp;CHAR(10)&amp;"Funding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
      </c>
      <c r="R2" s="13" t="s">
        <v>428</v>
      </c>
    </row>
    <row r="3" spans="1:18" ht="32">
      <c r="A3" s="8" t="str">
        <f t="shared" ca="1" si="0"/>
        <v>DEADLINE PASSED</v>
      </c>
      <c r="B3" s="3">
        <v>46295</v>
      </c>
      <c r="C3" s="2" t="s">
        <v>21</v>
      </c>
      <c r="D3" s="2" t="s">
        <v>22</v>
      </c>
      <c r="E3" s="2" t="s">
        <v>23</v>
      </c>
      <c r="F3" s="2" t="s">
        <v>24</v>
      </c>
      <c r="G3" s="2" t="s">
        <v>25</v>
      </c>
      <c r="H3" s="2" t="s">
        <v>26</v>
      </c>
      <c r="I3" s="2" t="s">
        <v>27</v>
      </c>
      <c r="J3" s="2" t="s">
        <v>28</v>
      </c>
      <c r="K3" s="2" t="s">
        <v>29</v>
      </c>
      <c r="L3" s="2" t="s">
        <v>21</v>
      </c>
      <c r="M3" s="11" t="s">
        <v>358</v>
      </c>
      <c r="N3" s="11" t="s">
        <v>359</v>
      </c>
      <c r="O3" s="11" t="s">
        <v>374</v>
      </c>
      <c r="P3" s="12" t="str">
        <f t="shared" si="1"/>
        <v/>
      </c>
      <c r="Q3" s="20" t="str">
        <f t="shared" ref="Q3:Q48" si="2">IF(O3&lt;&gt;"Yes","","Hello,"&amp;CHAR(10)&amp;CHAR(10)&amp;"A new funding opportunity has been added to the Funding Finder for Statistics."&amp;CHAR(10)&amp;CHAR(10)&amp;"**"&amp;D3&amp;"**"&amp;CHAR(10)&amp;CHAR(10)&amp;"Funder: "&amp;C3&amp;CHAR(10)&amp;"Deadline: "&amp;IF(ISNUMBER(B3),TEXT(B3,"d mmmm yyyy"),B3)&amp;CHAR(10)&amp;"Funding and duration: "&amp;F3&amp;CHAR(10)&amp;CHAR(10)&amp;"Who can apply: "&amp;G3&amp;CHAR(10)&amp;CHAR(10)&amp;"Why it may be relevant to Statistics: "&amp;H3&amp;CHAR(10)&amp;CHAR(10)&amp;"Themes: "&amp;I3&amp;CHAR(10)&amp;CHAR(10)&amp;"Official opportunity: "&amp;K3&amp;CHAR(10)&amp;CHAR(10)&amp;"Funding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
      </c>
      <c r="R3" s="13" t="s">
        <v>428</v>
      </c>
    </row>
    <row r="4" spans="1:18" ht="32">
      <c r="A4" s="9" t="str">
        <f t="shared" ca="1" si="0"/>
        <v>DEADLINE PASSED</v>
      </c>
      <c r="B4" s="3">
        <v>46296</v>
      </c>
      <c r="C4" s="2" t="s">
        <v>30</v>
      </c>
      <c r="D4" s="2" t="s">
        <v>31</v>
      </c>
      <c r="E4" s="2" t="s">
        <v>32</v>
      </c>
      <c r="F4" s="2" t="s">
        <v>33</v>
      </c>
      <c r="G4" s="2" t="s">
        <v>34</v>
      </c>
      <c r="H4" s="2" t="s">
        <v>35</v>
      </c>
      <c r="I4" s="2" t="s">
        <v>36</v>
      </c>
      <c r="J4" s="2" t="s">
        <v>37</v>
      </c>
      <c r="K4" s="2" t="s">
        <v>38</v>
      </c>
      <c r="L4" s="2" t="s">
        <v>12</v>
      </c>
      <c r="M4" s="11" t="s">
        <v>358</v>
      </c>
      <c r="N4" s="11" t="s">
        <v>359</v>
      </c>
      <c r="O4" s="11" t="s">
        <v>374</v>
      </c>
      <c r="P4" s="12" t="str">
        <f t="shared" si="1"/>
        <v/>
      </c>
      <c r="Q4" s="20" t="str">
        <f t="shared" si="2"/>
        <v/>
      </c>
      <c r="R4" s="13" t="s">
        <v>428</v>
      </c>
    </row>
    <row r="5" spans="1:18" ht="48">
      <c r="A5" s="9" t="str">
        <f t="shared" ca="1" si="0"/>
        <v>DEADLINE PASSED</v>
      </c>
      <c r="B5" s="3">
        <v>46304</v>
      </c>
      <c r="C5" s="2" t="s">
        <v>21</v>
      </c>
      <c r="D5" s="2" t="s">
        <v>39</v>
      </c>
      <c r="E5" s="2" t="s">
        <v>23</v>
      </c>
      <c r="F5" s="2" t="s">
        <v>40</v>
      </c>
      <c r="G5" s="2" t="s">
        <v>41</v>
      </c>
      <c r="H5" s="2" t="s">
        <v>42</v>
      </c>
      <c r="I5" s="2" t="s">
        <v>43</v>
      </c>
      <c r="J5" s="2" t="s">
        <v>44</v>
      </c>
      <c r="K5" s="2" t="s">
        <v>45</v>
      </c>
      <c r="L5" s="2" t="s">
        <v>21</v>
      </c>
      <c r="M5" s="11" t="s">
        <v>358</v>
      </c>
      <c r="N5" s="11" t="s">
        <v>359</v>
      </c>
      <c r="O5" s="11" t="s">
        <v>374</v>
      </c>
      <c r="P5" s="12" t="str">
        <f t="shared" si="1"/>
        <v/>
      </c>
      <c r="Q5" s="20" t="str">
        <f t="shared" si="2"/>
        <v/>
      </c>
      <c r="R5" s="13" t="s">
        <v>428</v>
      </c>
    </row>
    <row r="6" spans="1:18" ht="32">
      <c r="A6" s="9" t="str">
        <f t="shared" ca="1" si="0"/>
        <v>DEADLINE PASSED</v>
      </c>
      <c r="B6" s="3">
        <v>46310</v>
      </c>
      <c r="C6" s="2" t="s">
        <v>12</v>
      </c>
      <c r="D6" s="2" t="s">
        <v>46</v>
      </c>
      <c r="E6" s="2" t="s">
        <v>47</v>
      </c>
      <c r="F6" s="2" t="s">
        <v>48</v>
      </c>
      <c r="G6" s="2" t="s">
        <v>49</v>
      </c>
      <c r="H6" s="2" t="s">
        <v>50</v>
      </c>
      <c r="I6" s="2" t="s">
        <v>51</v>
      </c>
      <c r="J6" s="2" t="s">
        <v>52</v>
      </c>
      <c r="K6" s="2" t="s">
        <v>20</v>
      </c>
      <c r="L6" s="2" t="s">
        <v>12</v>
      </c>
      <c r="M6" s="11" t="s">
        <v>358</v>
      </c>
      <c r="N6" s="11" t="s">
        <v>359</v>
      </c>
      <c r="O6" s="11" t="s">
        <v>427</v>
      </c>
      <c r="P6" s="12" t="str">
        <f t="shared" si="1"/>
        <v>New funding opportunity added: Postgraduate Research Conference Grants (Scheme 8)</v>
      </c>
      <c r="Q6" s="20" t="str">
        <f t="shared" si="2"/>
        <v>Hello,
A new funding opportunity has been added to the Funding Finder for Statistics.
**Postgraduate Research Conference Grants (Scheme 8)**
Funder: LMS
Deadline: 15 October 2026
Funding and duration: Up to £2,500
Who can apply: For postgraduate-led research conferences; see LMS eligibility
Why it may be relevant to Statistics: Useful for Statistics PGRs organising specialist meetings.
Themes: PGR; mathematics; events
Official opportunity: https://www.lms.ac.uk/grants/calendar
Funding Finder: https://uofgstats.github.io/research-and-scholarship/
Please check the official funder page before preparing an application, as deadlines and eligibility requirements can change.
Best wishes,
Daniela &amp; Vinny
Research Lead for Statistics</v>
      </c>
      <c r="R6" s="13" t="s">
        <v>428</v>
      </c>
    </row>
    <row r="7" spans="1:18" ht="32">
      <c r="A7" s="9" t="str">
        <f t="shared" ca="1" si="0"/>
        <v>DEADLINE PASSED</v>
      </c>
      <c r="B7" s="3">
        <v>46310</v>
      </c>
      <c r="C7" s="2" t="s">
        <v>12</v>
      </c>
      <c r="D7" s="2" t="s">
        <v>53</v>
      </c>
      <c r="E7" s="2" t="s">
        <v>54</v>
      </c>
      <c r="F7" s="2" t="s">
        <v>55</v>
      </c>
      <c r="G7" s="2" t="s">
        <v>56</v>
      </c>
      <c r="H7" s="2" t="s">
        <v>57</v>
      </c>
      <c r="I7" s="2" t="s">
        <v>58</v>
      </c>
      <c r="J7" s="2" t="s">
        <v>52</v>
      </c>
      <c r="K7" s="2" t="s">
        <v>20</v>
      </c>
      <c r="L7" s="2" t="s">
        <v>12</v>
      </c>
      <c r="M7" s="11" t="s">
        <v>358</v>
      </c>
      <c r="N7" s="11" t="s">
        <v>359</v>
      </c>
      <c r="O7" s="11" t="s">
        <v>374</v>
      </c>
      <c r="P7" s="12" t="str">
        <f t="shared" si="1"/>
        <v/>
      </c>
      <c r="Q7" s="20" t="str">
        <f t="shared" si="2"/>
        <v/>
      </c>
      <c r="R7" s="13" t="s">
        <v>428</v>
      </c>
    </row>
    <row r="8" spans="1:18" ht="48">
      <c r="A8" s="9" t="str">
        <f t="shared" ca="1" si="0"/>
        <v>DEADLINE PASSED</v>
      </c>
      <c r="B8" s="3">
        <v>46310</v>
      </c>
      <c r="C8" s="2" t="s">
        <v>12</v>
      </c>
      <c r="D8" s="2" t="s">
        <v>59</v>
      </c>
      <c r="E8" s="2" t="s">
        <v>60</v>
      </c>
      <c r="F8" s="2" t="s">
        <v>61</v>
      </c>
      <c r="G8" s="2" t="s">
        <v>62</v>
      </c>
      <c r="H8" s="2" t="s">
        <v>63</v>
      </c>
      <c r="I8" s="2" t="s">
        <v>64</v>
      </c>
      <c r="J8" s="2" t="s">
        <v>65</v>
      </c>
      <c r="K8" s="2" t="s">
        <v>66</v>
      </c>
      <c r="L8" s="2" t="s">
        <v>12</v>
      </c>
      <c r="M8" s="11" t="s">
        <v>358</v>
      </c>
      <c r="N8" s="11" t="s">
        <v>359</v>
      </c>
      <c r="O8" s="11" t="s">
        <v>374</v>
      </c>
      <c r="P8" s="12" t="str">
        <f t="shared" si="1"/>
        <v/>
      </c>
      <c r="Q8" s="20" t="str">
        <f t="shared" si="2"/>
        <v/>
      </c>
      <c r="R8" s="13" t="s">
        <v>428</v>
      </c>
    </row>
    <row r="9" spans="1:18" ht="32">
      <c r="A9" s="9" t="str">
        <f t="shared" ca="1" si="0"/>
        <v>DEADLINE PASSED</v>
      </c>
      <c r="B9" s="3">
        <v>46316</v>
      </c>
      <c r="C9" s="2" t="s">
        <v>67</v>
      </c>
      <c r="D9" s="2" t="s">
        <v>68</v>
      </c>
      <c r="E9" s="2" t="s">
        <v>69</v>
      </c>
      <c r="F9" s="2" t="s">
        <v>70</v>
      </c>
      <c r="G9" s="2" t="s">
        <v>71</v>
      </c>
      <c r="H9" s="2" t="s">
        <v>72</v>
      </c>
      <c r="I9" s="2" t="s">
        <v>73</v>
      </c>
      <c r="J9" s="2" t="s">
        <v>74</v>
      </c>
      <c r="K9" s="2" t="s">
        <v>75</v>
      </c>
      <c r="L9" s="2" t="s">
        <v>67</v>
      </c>
      <c r="M9" s="11" t="s">
        <v>358</v>
      </c>
      <c r="N9" s="11" t="s">
        <v>359</v>
      </c>
      <c r="O9" s="11" t="s">
        <v>374</v>
      </c>
      <c r="P9" s="12" t="str">
        <f t="shared" si="1"/>
        <v/>
      </c>
      <c r="Q9" s="20" t="str">
        <f t="shared" si="2"/>
        <v/>
      </c>
      <c r="R9" s="13" t="s">
        <v>428</v>
      </c>
    </row>
    <row r="10" spans="1:18" ht="32">
      <c r="A10" s="9" t="str">
        <f t="shared" ca="1" si="0"/>
        <v>DEADLINE PASSED</v>
      </c>
      <c r="B10" s="3">
        <v>46316</v>
      </c>
      <c r="C10" s="2" t="s">
        <v>67</v>
      </c>
      <c r="D10" s="2" t="s">
        <v>76</v>
      </c>
      <c r="E10" s="2" t="s">
        <v>77</v>
      </c>
      <c r="F10" s="2" t="s">
        <v>78</v>
      </c>
      <c r="G10" s="2" t="s">
        <v>79</v>
      </c>
      <c r="H10" s="2" t="s">
        <v>80</v>
      </c>
      <c r="I10" s="2" t="s">
        <v>81</v>
      </c>
      <c r="J10" s="2" t="s">
        <v>82</v>
      </c>
      <c r="K10" s="2" t="s">
        <v>83</v>
      </c>
      <c r="L10" s="2" t="s">
        <v>67</v>
      </c>
      <c r="M10" s="11" t="s">
        <v>358</v>
      </c>
      <c r="N10" s="11" t="s">
        <v>359</v>
      </c>
      <c r="O10" s="11" t="s">
        <v>374</v>
      </c>
      <c r="P10" s="12" t="str">
        <f t="shared" si="1"/>
        <v/>
      </c>
      <c r="Q10" s="20" t="str">
        <f t="shared" si="2"/>
        <v/>
      </c>
      <c r="R10" s="13" t="s">
        <v>428</v>
      </c>
    </row>
    <row r="11" spans="1:18" ht="32">
      <c r="A11" s="9" t="str">
        <f t="shared" ca="1" si="0"/>
        <v>DEADLINE PASSED</v>
      </c>
      <c r="B11" s="3">
        <v>46316</v>
      </c>
      <c r="C11" s="2" t="s">
        <v>67</v>
      </c>
      <c r="D11" s="2" t="s">
        <v>84</v>
      </c>
      <c r="E11" s="2" t="s">
        <v>85</v>
      </c>
      <c r="F11" s="2" t="s">
        <v>86</v>
      </c>
      <c r="G11" s="2" t="s">
        <v>87</v>
      </c>
      <c r="H11" s="2" t="s">
        <v>88</v>
      </c>
      <c r="I11" s="2" t="s">
        <v>89</v>
      </c>
      <c r="J11" s="2" t="s">
        <v>90</v>
      </c>
      <c r="K11" s="2" t="s">
        <v>91</v>
      </c>
      <c r="L11" s="2" t="s">
        <v>67</v>
      </c>
      <c r="M11" s="11" t="s">
        <v>358</v>
      </c>
      <c r="N11" s="11" t="s">
        <v>359</v>
      </c>
      <c r="O11" s="11" t="s">
        <v>374</v>
      </c>
      <c r="P11" s="12" t="str">
        <f t="shared" si="1"/>
        <v/>
      </c>
      <c r="Q11" s="20" t="str">
        <f t="shared" si="2"/>
        <v/>
      </c>
      <c r="R11" s="13" t="s">
        <v>428</v>
      </c>
    </row>
    <row r="12" spans="1:18" ht="48">
      <c r="A12" s="9" t="str">
        <f t="shared" ca="1" si="0"/>
        <v>DEADLINE PASSED</v>
      </c>
      <c r="B12" s="3">
        <v>46316</v>
      </c>
      <c r="C12" s="2" t="s">
        <v>67</v>
      </c>
      <c r="D12" s="2" t="s">
        <v>92</v>
      </c>
      <c r="E12" s="2" t="s">
        <v>93</v>
      </c>
      <c r="F12" s="2" t="s">
        <v>94</v>
      </c>
      <c r="G12" s="2" t="s">
        <v>95</v>
      </c>
      <c r="H12" s="2" t="s">
        <v>96</v>
      </c>
      <c r="I12" s="2" t="s">
        <v>97</v>
      </c>
      <c r="J12" s="2" t="s">
        <v>98</v>
      </c>
      <c r="K12" s="2" t="s">
        <v>99</v>
      </c>
      <c r="L12" s="2" t="s">
        <v>67</v>
      </c>
      <c r="M12" s="11" t="s">
        <v>358</v>
      </c>
      <c r="N12" s="11" t="s">
        <v>359</v>
      </c>
      <c r="O12" s="11" t="s">
        <v>374</v>
      </c>
      <c r="P12" s="12" t="str">
        <f t="shared" si="1"/>
        <v/>
      </c>
      <c r="Q12" s="20" t="str">
        <f t="shared" si="2"/>
        <v/>
      </c>
      <c r="R12" s="13" t="s">
        <v>428</v>
      </c>
    </row>
    <row r="13" spans="1:18" ht="32">
      <c r="A13" s="9" t="str">
        <f t="shared" ca="1" si="0"/>
        <v>DEADLINE PASSED</v>
      </c>
      <c r="B13" s="3">
        <v>46316</v>
      </c>
      <c r="C13" s="2" t="s">
        <v>67</v>
      </c>
      <c r="D13" s="2" t="s">
        <v>100</v>
      </c>
      <c r="E13" s="2" t="s">
        <v>101</v>
      </c>
      <c r="F13" s="2" t="s">
        <v>102</v>
      </c>
      <c r="G13" s="2" t="s">
        <v>103</v>
      </c>
      <c r="H13" s="2" t="s">
        <v>104</v>
      </c>
      <c r="I13" s="2" t="s">
        <v>105</v>
      </c>
      <c r="J13" s="2" t="s">
        <v>106</v>
      </c>
      <c r="K13" s="2" t="s">
        <v>107</v>
      </c>
      <c r="L13" s="2" t="s">
        <v>67</v>
      </c>
      <c r="M13" s="11" t="s">
        <v>358</v>
      </c>
      <c r="N13" s="11" t="s">
        <v>359</v>
      </c>
      <c r="O13" s="11" t="s">
        <v>374</v>
      </c>
      <c r="P13" s="12" t="str">
        <f t="shared" si="1"/>
        <v/>
      </c>
      <c r="Q13" s="20" t="str">
        <f t="shared" si="2"/>
        <v/>
      </c>
      <c r="R13" s="13" t="s">
        <v>428</v>
      </c>
    </row>
    <row r="14" spans="1:18" ht="48">
      <c r="A14" s="9" t="str">
        <f t="shared" ca="1" si="0"/>
        <v>DEADLINE PASSED</v>
      </c>
      <c r="B14" s="3">
        <v>46316</v>
      </c>
      <c r="C14" s="2" t="s">
        <v>67</v>
      </c>
      <c r="D14" s="2" t="s">
        <v>108</v>
      </c>
      <c r="E14" s="2" t="s">
        <v>93</v>
      </c>
      <c r="F14" s="2" t="s">
        <v>109</v>
      </c>
      <c r="G14" s="2" t="s">
        <v>110</v>
      </c>
      <c r="H14" s="2" t="s">
        <v>111</v>
      </c>
      <c r="I14" s="2" t="s">
        <v>112</v>
      </c>
      <c r="J14" s="2" t="s">
        <v>113</v>
      </c>
      <c r="K14" s="2" t="s">
        <v>114</v>
      </c>
      <c r="L14" s="2" t="s">
        <v>67</v>
      </c>
      <c r="M14" s="11" t="s">
        <v>358</v>
      </c>
      <c r="N14" s="11" t="s">
        <v>359</v>
      </c>
      <c r="O14" s="11" t="s">
        <v>374</v>
      </c>
      <c r="P14" s="12" t="str">
        <f t="shared" si="1"/>
        <v/>
      </c>
      <c r="Q14" s="20" t="str">
        <f t="shared" si="2"/>
        <v/>
      </c>
      <c r="R14" s="13" t="s">
        <v>428</v>
      </c>
    </row>
    <row r="15" spans="1:18" ht="48">
      <c r="A15" s="9" t="str">
        <f t="shared" ca="1" si="0"/>
        <v>OPEN</v>
      </c>
      <c r="B15" s="3">
        <v>46323</v>
      </c>
      <c r="C15" s="2" t="s">
        <v>115</v>
      </c>
      <c r="D15" s="2" t="s">
        <v>116</v>
      </c>
      <c r="E15" s="2" t="s">
        <v>117</v>
      </c>
      <c r="F15" s="2" t="s">
        <v>118</v>
      </c>
      <c r="G15" s="2" t="s">
        <v>119</v>
      </c>
      <c r="H15" s="2" t="s">
        <v>120</v>
      </c>
      <c r="I15" s="2" t="s">
        <v>121</v>
      </c>
      <c r="J15" s="2" t="s">
        <v>122</v>
      </c>
      <c r="K15" s="2" t="s">
        <v>123</v>
      </c>
      <c r="L15" s="2" t="s">
        <v>124</v>
      </c>
      <c r="M15" s="11" t="s">
        <v>358</v>
      </c>
      <c r="N15" s="11" t="s">
        <v>359</v>
      </c>
      <c r="O15" s="11" t="s">
        <v>374</v>
      </c>
      <c r="P15" s="12" t="str">
        <f t="shared" si="1"/>
        <v/>
      </c>
      <c r="Q15" s="20" t="str">
        <f t="shared" si="2"/>
        <v/>
      </c>
      <c r="R15" s="13" t="s">
        <v>428</v>
      </c>
    </row>
    <row r="16" spans="1:18" ht="32">
      <c r="A16" s="9" t="str">
        <f t="shared" ca="1" si="0"/>
        <v>OPEN</v>
      </c>
      <c r="B16" s="3">
        <v>46328</v>
      </c>
      <c r="C16" s="2" t="s">
        <v>125</v>
      </c>
      <c r="D16" s="2" t="s">
        <v>126</v>
      </c>
      <c r="E16" s="2" t="s">
        <v>127</v>
      </c>
      <c r="F16" s="2" t="s">
        <v>128</v>
      </c>
      <c r="G16" s="2" t="s">
        <v>129</v>
      </c>
      <c r="H16" s="2" t="s">
        <v>130</v>
      </c>
      <c r="I16" s="2" t="s">
        <v>131</v>
      </c>
      <c r="J16" s="2" t="s">
        <v>132</v>
      </c>
      <c r="K16" s="2" t="s">
        <v>133</v>
      </c>
      <c r="L16" s="2" t="s">
        <v>67</v>
      </c>
      <c r="M16" s="11" t="s">
        <v>358</v>
      </c>
      <c r="N16" s="11" t="s">
        <v>359</v>
      </c>
      <c r="O16" s="11" t="s">
        <v>374</v>
      </c>
      <c r="P16" s="12" t="str">
        <f t="shared" si="1"/>
        <v/>
      </c>
      <c r="Q16" s="20" t="str">
        <f t="shared" si="2"/>
        <v/>
      </c>
      <c r="R16" s="13" t="s">
        <v>428</v>
      </c>
    </row>
    <row r="17" spans="1:18" ht="32">
      <c r="A17" s="9" t="str">
        <f t="shared" ca="1" si="0"/>
        <v>OPEN</v>
      </c>
      <c r="B17" s="3">
        <v>46336</v>
      </c>
      <c r="C17" s="2" t="s">
        <v>134</v>
      </c>
      <c r="D17" s="2" t="s">
        <v>135</v>
      </c>
      <c r="E17" s="2" t="s">
        <v>85</v>
      </c>
      <c r="F17" s="2" t="s">
        <v>136</v>
      </c>
      <c r="G17" s="2" t="s">
        <v>137</v>
      </c>
      <c r="H17" s="2" t="s">
        <v>138</v>
      </c>
      <c r="I17" s="2" t="s">
        <v>139</v>
      </c>
      <c r="J17" s="2" t="s">
        <v>140</v>
      </c>
      <c r="K17" s="2" t="s">
        <v>141</v>
      </c>
      <c r="L17" s="2" t="s">
        <v>124</v>
      </c>
      <c r="M17" s="11" t="s">
        <v>358</v>
      </c>
      <c r="N17" s="11" t="s">
        <v>359</v>
      </c>
      <c r="O17" s="11" t="s">
        <v>374</v>
      </c>
      <c r="P17" s="12" t="str">
        <f t="shared" si="1"/>
        <v/>
      </c>
      <c r="Q17" s="20" t="str">
        <f t="shared" si="2"/>
        <v/>
      </c>
      <c r="R17" s="13" t="s">
        <v>428</v>
      </c>
    </row>
    <row r="18" spans="1:18" ht="48">
      <c r="A18" s="9" t="str">
        <f t="shared" ca="1" si="0"/>
        <v>OPEN</v>
      </c>
      <c r="B18" s="3">
        <v>46338</v>
      </c>
      <c r="C18" s="2" t="s">
        <v>142</v>
      </c>
      <c r="D18" s="2" t="s">
        <v>143</v>
      </c>
      <c r="E18" s="2" t="s">
        <v>85</v>
      </c>
      <c r="F18" s="2" t="s">
        <v>144</v>
      </c>
      <c r="G18" s="2" t="s">
        <v>145</v>
      </c>
      <c r="H18" s="2" t="s">
        <v>146</v>
      </c>
      <c r="I18" s="2" t="s">
        <v>147</v>
      </c>
      <c r="J18" s="2" t="s">
        <v>148</v>
      </c>
      <c r="K18" s="2" t="s">
        <v>149</v>
      </c>
      <c r="L18" s="2" t="s">
        <v>124</v>
      </c>
      <c r="M18" s="11" t="s">
        <v>358</v>
      </c>
      <c r="N18" s="11" t="s">
        <v>359</v>
      </c>
      <c r="O18" s="11" t="s">
        <v>374</v>
      </c>
      <c r="P18" s="12" t="str">
        <f t="shared" si="1"/>
        <v/>
      </c>
      <c r="Q18" s="20" t="str">
        <f t="shared" si="2"/>
        <v/>
      </c>
      <c r="R18" s="13" t="s">
        <v>428</v>
      </c>
    </row>
    <row r="19" spans="1:18" ht="48">
      <c r="A19" s="9" t="str">
        <f t="shared" ca="1" si="0"/>
        <v>OPEN</v>
      </c>
      <c r="B19" s="3">
        <v>46356</v>
      </c>
      <c r="C19" s="2" t="s">
        <v>12</v>
      </c>
      <c r="D19" s="2" t="s">
        <v>150</v>
      </c>
      <c r="E19" s="2" t="s">
        <v>151</v>
      </c>
      <c r="F19" s="2" t="s">
        <v>152</v>
      </c>
      <c r="G19" s="2" t="s">
        <v>153</v>
      </c>
      <c r="H19" s="2" t="s">
        <v>154</v>
      </c>
      <c r="I19" s="2" t="s">
        <v>155</v>
      </c>
      <c r="J19" s="2" t="s">
        <v>156</v>
      </c>
      <c r="K19" s="2" t="s">
        <v>157</v>
      </c>
      <c r="L19" s="2" t="s">
        <v>12</v>
      </c>
      <c r="M19" s="11" t="s">
        <v>358</v>
      </c>
      <c r="N19" s="11" t="s">
        <v>359</v>
      </c>
      <c r="O19" s="11" t="s">
        <v>374</v>
      </c>
      <c r="P19" s="12" t="str">
        <f t="shared" si="1"/>
        <v/>
      </c>
      <c r="Q19" s="20" t="str">
        <f t="shared" si="2"/>
        <v/>
      </c>
      <c r="R19" s="13" t="s">
        <v>428</v>
      </c>
    </row>
    <row r="20" spans="1:18" ht="48">
      <c r="A20" s="9" t="str">
        <f t="shared" ca="1" si="0"/>
        <v>OPEN</v>
      </c>
      <c r="B20" s="3">
        <v>46357</v>
      </c>
      <c r="C20" s="2" t="s">
        <v>67</v>
      </c>
      <c r="D20" s="2" t="s">
        <v>158</v>
      </c>
      <c r="E20" s="2" t="s">
        <v>159</v>
      </c>
      <c r="F20" s="2" t="s">
        <v>160</v>
      </c>
      <c r="G20" s="2" t="s">
        <v>161</v>
      </c>
      <c r="H20" s="2" t="s">
        <v>162</v>
      </c>
      <c r="I20" s="2" t="s">
        <v>163</v>
      </c>
      <c r="J20" s="2" t="s">
        <v>164</v>
      </c>
      <c r="K20" s="2" t="s">
        <v>165</v>
      </c>
      <c r="L20" s="2" t="s">
        <v>67</v>
      </c>
      <c r="M20" s="11" t="s">
        <v>358</v>
      </c>
      <c r="N20" s="11" t="s">
        <v>359</v>
      </c>
      <c r="O20" s="11" t="s">
        <v>374</v>
      </c>
      <c r="P20" s="12" t="str">
        <f t="shared" si="1"/>
        <v/>
      </c>
      <c r="Q20" s="20" t="str">
        <f t="shared" si="2"/>
        <v/>
      </c>
      <c r="R20" s="13" t="s">
        <v>428</v>
      </c>
    </row>
    <row r="21" spans="1:18" ht="32">
      <c r="A21" s="9" t="str">
        <f t="shared" ca="1" si="0"/>
        <v>OPEN</v>
      </c>
      <c r="B21" s="3">
        <v>46357</v>
      </c>
      <c r="C21" s="2" t="s">
        <v>67</v>
      </c>
      <c r="D21" s="2" t="s">
        <v>166</v>
      </c>
      <c r="E21" s="2" t="s">
        <v>167</v>
      </c>
      <c r="F21" s="2" t="s">
        <v>168</v>
      </c>
      <c r="G21" s="2" t="s">
        <v>169</v>
      </c>
      <c r="H21" s="2" t="s">
        <v>170</v>
      </c>
      <c r="I21" s="2" t="s">
        <v>171</v>
      </c>
      <c r="J21" s="2" t="s">
        <v>172</v>
      </c>
      <c r="K21" s="2" t="s">
        <v>165</v>
      </c>
      <c r="L21" s="2" t="s">
        <v>67</v>
      </c>
      <c r="M21" s="11" t="s">
        <v>358</v>
      </c>
      <c r="N21" s="11" t="s">
        <v>359</v>
      </c>
      <c r="O21" s="11" t="s">
        <v>374</v>
      </c>
      <c r="P21" s="12" t="str">
        <f t="shared" si="1"/>
        <v/>
      </c>
      <c r="Q21" s="20" t="str">
        <f t="shared" si="2"/>
        <v/>
      </c>
      <c r="R21" s="13" t="s">
        <v>428</v>
      </c>
    </row>
    <row r="22" spans="1:18" ht="32">
      <c r="A22" s="9" t="str">
        <f t="shared" ca="1" si="0"/>
        <v>OPEN</v>
      </c>
      <c r="B22" s="3">
        <v>46409</v>
      </c>
      <c r="C22" s="2" t="s">
        <v>12</v>
      </c>
      <c r="D22" s="2" t="s">
        <v>173</v>
      </c>
      <c r="E22" s="2" t="s">
        <v>174</v>
      </c>
      <c r="F22" s="2" t="s">
        <v>175</v>
      </c>
      <c r="G22" s="2" t="s">
        <v>176</v>
      </c>
      <c r="H22" s="2" t="s">
        <v>177</v>
      </c>
      <c r="I22" s="2" t="s">
        <v>178</v>
      </c>
      <c r="J22" s="2" t="s">
        <v>179</v>
      </c>
      <c r="K22" s="2" t="s">
        <v>180</v>
      </c>
      <c r="L22" s="2" t="s">
        <v>12</v>
      </c>
      <c r="M22" s="11" t="s">
        <v>358</v>
      </c>
      <c r="N22" s="11" t="s">
        <v>359</v>
      </c>
      <c r="O22" s="11" t="s">
        <v>374</v>
      </c>
      <c r="P22" s="12" t="str">
        <f t="shared" si="1"/>
        <v/>
      </c>
      <c r="Q22" s="20" t="str">
        <f t="shared" si="2"/>
        <v/>
      </c>
      <c r="R22" s="13" t="s">
        <v>428</v>
      </c>
    </row>
    <row r="23" spans="1:18" ht="32">
      <c r="A23" s="9" t="str">
        <f t="shared" ca="1" si="0"/>
        <v>OPEN</v>
      </c>
      <c r="B23" s="3">
        <v>46409</v>
      </c>
      <c r="C23" s="2" t="s">
        <v>12</v>
      </c>
      <c r="D23" s="2" t="s">
        <v>181</v>
      </c>
      <c r="E23" s="2" t="s">
        <v>182</v>
      </c>
      <c r="F23" s="2" t="s">
        <v>183</v>
      </c>
      <c r="G23" s="2" t="s">
        <v>184</v>
      </c>
      <c r="H23" s="2" t="s">
        <v>185</v>
      </c>
      <c r="I23" s="2" t="s">
        <v>186</v>
      </c>
      <c r="J23" s="2" t="s">
        <v>179</v>
      </c>
      <c r="K23" s="2" t="s">
        <v>187</v>
      </c>
      <c r="L23" s="2" t="s">
        <v>12</v>
      </c>
      <c r="M23" s="11" t="s">
        <v>358</v>
      </c>
      <c r="N23" s="11" t="s">
        <v>359</v>
      </c>
      <c r="O23" s="11" t="s">
        <v>374</v>
      </c>
      <c r="P23" s="12" t="str">
        <f t="shared" si="1"/>
        <v/>
      </c>
      <c r="Q23" s="20" t="str">
        <f t="shared" si="2"/>
        <v/>
      </c>
      <c r="R23" s="13" t="s">
        <v>428</v>
      </c>
    </row>
    <row r="24" spans="1:18" ht="32">
      <c r="A24" s="9" t="str">
        <f t="shared" ca="1" si="0"/>
        <v>OPEN</v>
      </c>
      <c r="B24" s="3">
        <v>46409</v>
      </c>
      <c r="C24" s="2" t="s">
        <v>12</v>
      </c>
      <c r="D24" s="2" t="s">
        <v>188</v>
      </c>
      <c r="E24" s="2" t="s">
        <v>189</v>
      </c>
      <c r="F24" s="2" t="s">
        <v>190</v>
      </c>
      <c r="G24" s="2" t="s">
        <v>191</v>
      </c>
      <c r="H24" s="2" t="s">
        <v>192</v>
      </c>
      <c r="I24" s="2" t="s">
        <v>18</v>
      </c>
      <c r="J24" s="2" t="s">
        <v>179</v>
      </c>
      <c r="K24" s="2" t="s">
        <v>193</v>
      </c>
      <c r="L24" s="2" t="s">
        <v>12</v>
      </c>
      <c r="M24" s="11" t="s">
        <v>358</v>
      </c>
      <c r="N24" s="11" t="s">
        <v>359</v>
      </c>
      <c r="O24" s="11" t="s">
        <v>374</v>
      </c>
      <c r="P24" s="12" t="str">
        <f t="shared" si="1"/>
        <v/>
      </c>
      <c r="Q24" s="20" t="str">
        <f t="shared" si="2"/>
        <v/>
      </c>
      <c r="R24" s="13" t="s">
        <v>428</v>
      </c>
    </row>
    <row r="25" spans="1:18" ht="32">
      <c r="A25" s="9" t="str">
        <f t="shared" ca="1" si="0"/>
        <v>OPEN</v>
      </c>
      <c r="B25" s="3">
        <v>46409</v>
      </c>
      <c r="C25" s="2" t="s">
        <v>12</v>
      </c>
      <c r="D25" s="2" t="s">
        <v>194</v>
      </c>
      <c r="E25" s="2" t="s">
        <v>93</v>
      </c>
      <c r="F25" s="2" t="s">
        <v>195</v>
      </c>
      <c r="G25" s="2" t="s">
        <v>196</v>
      </c>
      <c r="H25" s="2" t="s">
        <v>197</v>
      </c>
      <c r="I25" s="2" t="s">
        <v>198</v>
      </c>
      <c r="J25" s="2" t="s">
        <v>179</v>
      </c>
      <c r="K25" s="2" t="s">
        <v>20</v>
      </c>
      <c r="L25" s="2" t="s">
        <v>12</v>
      </c>
      <c r="M25" s="11" t="s">
        <v>358</v>
      </c>
      <c r="N25" s="11" t="s">
        <v>359</v>
      </c>
      <c r="O25" s="11" t="s">
        <v>374</v>
      </c>
      <c r="P25" s="12" t="str">
        <f t="shared" si="1"/>
        <v/>
      </c>
      <c r="Q25" s="20" t="str">
        <f t="shared" si="2"/>
        <v/>
      </c>
      <c r="R25" s="13" t="s">
        <v>428</v>
      </c>
    </row>
    <row r="26" spans="1:18" ht="32">
      <c r="A26" s="9" t="str">
        <f t="shared" ca="1" si="0"/>
        <v>OPEN</v>
      </c>
      <c r="B26" s="3">
        <v>46418</v>
      </c>
      <c r="C26" s="2" t="s">
        <v>12</v>
      </c>
      <c r="D26" s="2" t="s">
        <v>199</v>
      </c>
      <c r="E26" s="2" t="s">
        <v>200</v>
      </c>
      <c r="F26" s="2" t="s">
        <v>201</v>
      </c>
      <c r="G26" s="2" t="s">
        <v>202</v>
      </c>
      <c r="H26" s="2" t="s">
        <v>203</v>
      </c>
      <c r="I26" s="2" t="s">
        <v>198</v>
      </c>
      <c r="J26" s="2" t="s">
        <v>204</v>
      </c>
      <c r="K26" s="2" t="s">
        <v>20</v>
      </c>
      <c r="L26" s="2" t="s">
        <v>12</v>
      </c>
      <c r="M26" s="11" t="s">
        <v>358</v>
      </c>
      <c r="N26" s="11" t="s">
        <v>359</v>
      </c>
      <c r="O26" s="11" t="s">
        <v>374</v>
      </c>
      <c r="P26" s="12" t="str">
        <f t="shared" si="1"/>
        <v/>
      </c>
      <c r="Q26" s="20" t="str">
        <f t="shared" si="2"/>
        <v/>
      </c>
      <c r="R26" s="13" t="s">
        <v>428</v>
      </c>
    </row>
    <row r="27" spans="1:18" ht="32">
      <c r="A27" s="9" t="str">
        <f t="shared" ca="1" si="0"/>
        <v>OPEN</v>
      </c>
      <c r="B27" s="3">
        <v>46419</v>
      </c>
      <c r="C27" s="2" t="s">
        <v>12</v>
      </c>
      <c r="D27" s="2" t="s">
        <v>205</v>
      </c>
      <c r="E27" s="2" t="s">
        <v>206</v>
      </c>
      <c r="F27" s="2" t="s">
        <v>207</v>
      </c>
      <c r="G27" s="2" t="s">
        <v>208</v>
      </c>
      <c r="H27" s="2" t="s">
        <v>209</v>
      </c>
      <c r="I27" s="2" t="s">
        <v>210</v>
      </c>
      <c r="J27" s="2" t="s">
        <v>211</v>
      </c>
      <c r="K27" s="2" t="s">
        <v>20</v>
      </c>
      <c r="L27" s="2" t="s">
        <v>12</v>
      </c>
      <c r="M27" s="11" t="s">
        <v>358</v>
      </c>
      <c r="N27" s="11" t="s">
        <v>359</v>
      </c>
      <c r="O27" s="11" t="s">
        <v>374</v>
      </c>
      <c r="P27" s="12" t="str">
        <f t="shared" si="1"/>
        <v/>
      </c>
      <c r="Q27" s="20" t="str">
        <f t="shared" si="2"/>
        <v/>
      </c>
      <c r="R27" s="13" t="s">
        <v>428</v>
      </c>
    </row>
    <row r="28" spans="1:18" ht="48">
      <c r="A28" s="9" t="str">
        <f t="shared" ca="1" si="0"/>
        <v>OPEN</v>
      </c>
      <c r="B28" s="3" t="s">
        <v>212</v>
      </c>
      <c r="C28" s="2" t="s">
        <v>213</v>
      </c>
      <c r="D28" s="2" t="s">
        <v>214</v>
      </c>
      <c r="E28" s="2" t="s">
        <v>215</v>
      </c>
      <c r="F28" s="2" t="s">
        <v>216</v>
      </c>
      <c r="G28" s="2" t="s">
        <v>217</v>
      </c>
      <c r="H28" s="2" t="s">
        <v>218</v>
      </c>
      <c r="I28" s="2" t="s">
        <v>219</v>
      </c>
      <c r="J28" s="2" t="s">
        <v>220</v>
      </c>
      <c r="K28" s="2" t="s">
        <v>221</v>
      </c>
      <c r="L28" s="2" t="s">
        <v>124</v>
      </c>
      <c r="M28" s="11" t="s">
        <v>358</v>
      </c>
      <c r="N28" s="11" t="s">
        <v>359</v>
      </c>
      <c r="O28" s="11" t="s">
        <v>374</v>
      </c>
      <c r="P28" s="12" t="str">
        <f t="shared" si="1"/>
        <v/>
      </c>
      <c r="Q28" s="20" t="str">
        <f t="shared" si="2"/>
        <v/>
      </c>
      <c r="R28" s="13" t="s">
        <v>428</v>
      </c>
    </row>
    <row r="29" spans="1:18" ht="48">
      <c r="A29" s="9" t="str">
        <f t="shared" ca="1" si="0"/>
        <v>OPEN</v>
      </c>
      <c r="B29" s="3" t="s">
        <v>212</v>
      </c>
      <c r="C29" s="2" t="s">
        <v>222</v>
      </c>
      <c r="D29" s="2" t="s">
        <v>223</v>
      </c>
      <c r="E29" s="2" t="s">
        <v>85</v>
      </c>
      <c r="F29" s="2" t="s">
        <v>224</v>
      </c>
      <c r="G29" s="2" t="s">
        <v>225</v>
      </c>
      <c r="H29" s="2" t="s">
        <v>226</v>
      </c>
      <c r="I29" s="2" t="s">
        <v>227</v>
      </c>
      <c r="J29" s="2" t="s">
        <v>228</v>
      </c>
      <c r="K29" s="2" t="s">
        <v>229</v>
      </c>
      <c r="L29" s="2" t="s">
        <v>230</v>
      </c>
      <c r="M29" s="11" t="s">
        <v>358</v>
      </c>
      <c r="N29" s="11" t="s">
        <v>359</v>
      </c>
      <c r="O29" s="11" t="s">
        <v>374</v>
      </c>
      <c r="P29" s="12" t="str">
        <f t="shared" si="1"/>
        <v/>
      </c>
      <c r="Q29" s="20" t="str">
        <f t="shared" si="2"/>
        <v/>
      </c>
      <c r="R29" s="13" t="s">
        <v>428</v>
      </c>
    </row>
    <row r="30" spans="1:18" ht="32">
      <c r="A30" s="9" t="str">
        <f t="shared" ca="1" si="0"/>
        <v>OPEN</v>
      </c>
      <c r="B30" s="3" t="s">
        <v>212</v>
      </c>
      <c r="C30" s="2" t="s">
        <v>222</v>
      </c>
      <c r="D30" s="2" t="s">
        <v>231</v>
      </c>
      <c r="E30" s="2" t="s">
        <v>85</v>
      </c>
      <c r="F30" s="2" t="s">
        <v>232</v>
      </c>
      <c r="G30" s="2" t="s">
        <v>233</v>
      </c>
      <c r="H30" s="2" t="s">
        <v>234</v>
      </c>
      <c r="I30" s="2" t="s">
        <v>235</v>
      </c>
      <c r="J30" s="2" t="s">
        <v>236</v>
      </c>
      <c r="K30" s="2" t="s">
        <v>237</v>
      </c>
      <c r="L30" s="2" t="s">
        <v>230</v>
      </c>
      <c r="M30" s="11" t="s">
        <v>358</v>
      </c>
      <c r="N30" s="11" t="s">
        <v>359</v>
      </c>
      <c r="O30" s="11" t="s">
        <v>374</v>
      </c>
      <c r="P30" s="12" t="str">
        <f t="shared" si="1"/>
        <v/>
      </c>
      <c r="Q30" s="20" t="str">
        <f t="shared" si="2"/>
        <v/>
      </c>
      <c r="R30" s="13" t="s">
        <v>428</v>
      </c>
    </row>
    <row r="31" spans="1:18" ht="32">
      <c r="A31" s="9" t="str">
        <f t="shared" ca="1" si="0"/>
        <v>OPEN</v>
      </c>
      <c r="B31" s="3" t="s">
        <v>212</v>
      </c>
      <c r="C31" s="2" t="s">
        <v>222</v>
      </c>
      <c r="D31" s="2" t="s">
        <v>238</v>
      </c>
      <c r="E31" s="2" t="s">
        <v>239</v>
      </c>
      <c r="F31" s="2" t="s">
        <v>240</v>
      </c>
      <c r="G31" s="2" t="s">
        <v>241</v>
      </c>
      <c r="H31" s="2" t="s">
        <v>242</v>
      </c>
      <c r="I31" s="2" t="s">
        <v>58</v>
      </c>
      <c r="J31" s="2" t="s">
        <v>228</v>
      </c>
      <c r="K31" s="2" t="s">
        <v>243</v>
      </c>
      <c r="L31" s="2" t="s">
        <v>230</v>
      </c>
      <c r="M31" s="11" t="s">
        <v>358</v>
      </c>
      <c r="N31" s="11" t="s">
        <v>359</v>
      </c>
      <c r="O31" s="11" t="s">
        <v>374</v>
      </c>
      <c r="P31" s="12" t="str">
        <f t="shared" si="1"/>
        <v/>
      </c>
      <c r="Q31" s="20" t="str">
        <f t="shared" si="2"/>
        <v/>
      </c>
      <c r="R31" s="13" t="s">
        <v>428</v>
      </c>
    </row>
    <row r="32" spans="1:18" ht="64">
      <c r="A32" s="9" t="str">
        <f t="shared" ca="1" si="0"/>
        <v>OPEN</v>
      </c>
      <c r="B32" s="3" t="s">
        <v>212</v>
      </c>
      <c r="C32" s="2" t="s">
        <v>222</v>
      </c>
      <c r="D32" s="2" t="s">
        <v>244</v>
      </c>
      <c r="E32" s="2" t="s">
        <v>32</v>
      </c>
      <c r="F32" s="2" t="s">
        <v>245</v>
      </c>
      <c r="G32" s="2" t="s">
        <v>246</v>
      </c>
      <c r="H32" s="2" t="s">
        <v>247</v>
      </c>
      <c r="I32" s="2" t="s">
        <v>36</v>
      </c>
      <c r="J32" s="2" t="s">
        <v>248</v>
      </c>
      <c r="K32" s="2" t="s">
        <v>249</v>
      </c>
      <c r="L32" s="2" t="s">
        <v>230</v>
      </c>
      <c r="M32" s="11" t="s">
        <v>358</v>
      </c>
      <c r="N32" s="11" t="s">
        <v>359</v>
      </c>
      <c r="O32" s="11" t="s">
        <v>374</v>
      </c>
      <c r="P32" s="12" t="str">
        <f t="shared" si="1"/>
        <v/>
      </c>
      <c r="Q32" s="20" t="str">
        <f t="shared" si="2"/>
        <v/>
      </c>
      <c r="R32" s="13" t="s">
        <v>428</v>
      </c>
    </row>
    <row r="33" spans="1:18" ht="64">
      <c r="A33" s="10" t="str">
        <f t="shared" ca="1" si="0"/>
        <v>FORTHCOMING</v>
      </c>
      <c r="B33" s="3" t="s">
        <v>250</v>
      </c>
      <c r="C33" s="2" t="s">
        <v>134</v>
      </c>
      <c r="D33" s="2" t="s">
        <v>251</v>
      </c>
      <c r="E33" s="2" t="s">
        <v>85</v>
      </c>
      <c r="F33" s="2" t="s">
        <v>252</v>
      </c>
      <c r="G33" s="2" t="s">
        <v>253</v>
      </c>
      <c r="H33" s="2" t="s">
        <v>254</v>
      </c>
      <c r="I33" s="2" t="s">
        <v>255</v>
      </c>
      <c r="J33" s="2" t="s">
        <v>256</v>
      </c>
      <c r="K33" s="2" t="s">
        <v>257</v>
      </c>
      <c r="L33" s="2" t="s">
        <v>258</v>
      </c>
      <c r="M33" s="11" t="s">
        <v>358</v>
      </c>
      <c r="N33" s="11" t="s">
        <v>360</v>
      </c>
      <c r="O33" s="11" t="s">
        <v>374</v>
      </c>
      <c r="P33" s="12" t="str">
        <f t="shared" si="1"/>
        <v/>
      </c>
      <c r="Q33" s="20" t="str">
        <f t="shared" si="2"/>
        <v/>
      </c>
      <c r="R33" s="13" t="s">
        <v>428</v>
      </c>
    </row>
    <row r="34" spans="1:18" ht="32">
      <c r="A34" s="10" t="str">
        <f t="shared" ca="1" si="0"/>
        <v>FORTHCOMING</v>
      </c>
      <c r="B34" s="3" t="s">
        <v>259</v>
      </c>
      <c r="C34" s="2" t="s">
        <v>142</v>
      </c>
      <c r="D34" s="2" t="s">
        <v>261</v>
      </c>
      <c r="E34" s="2" t="s">
        <v>262</v>
      </c>
      <c r="F34" s="2" t="s">
        <v>263</v>
      </c>
      <c r="G34" s="2" t="s">
        <v>264</v>
      </c>
      <c r="H34" s="2" t="s">
        <v>265</v>
      </c>
      <c r="I34" s="2" t="s">
        <v>266</v>
      </c>
      <c r="J34" s="2" t="s">
        <v>267</v>
      </c>
      <c r="K34" s="2" t="s">
        <v>257</v>
      </c>
      <c r="L34" s="2" t="s">
        <v>258</v>
      </c>
      <c r="M34" s="11" t="s">
        <v>358</v>
      </c>
      <c r="N34" s="11" t="s">
        <v>360</v>
      </c>
      <c r="O34" s="11" t="s">
        <v>374</v>
      </c>
      <c r="P34" s="12" t="str">
        <f t="shared" si="1"/>
        <v/>
      </c>
      <c r="Q34" s="20" t="str">
        <f t="shared" si="2"/>
        <v/>
      </c>
      <c r="R34" s="13" t="s">
        <v>428</v>
      </c>
    </row>
    <row r="35" spans="1:18" ht="48">
      <c r="A35" s="10" t="str">
        <f t="shared" ca="1" si="0"/>
        <v>FORTHCOMING</v>
      </c>
      <c r="B35" s="3" t="s">
        <v>268</v>
      </c>
      <c r="C35" s="2" t="s">
        <v>134</v>
      </c>
      <c r="D35" s="2" t="s">
        <v>269</v>
      </c>
      <c r="E35" s="2" t="s">
        <v>270</v>
      </c>
      <c r="F35" s="2" t="s">
        <v>271</v>
      </c>
      <c r="G35" s="2" t="s">
        <v>272</v>
      </c>
      <c r="H35" s="2" t="s">
        <v>273</v>
      </c>
      <c r="I35" s="2" t="s">
        <v>274</v>
      </c>
      <c r="J35" s="2" t="s">
        <v>275</v>
      </c>
      <c r="K35" s="2" t="s">
        <v>257</v>
      </c>
      <c r="L35" s="2" t="s">
        <v>258</v>
      </c>
      <c r="M35" s="11" t="s">
        <v>358</v>
      </c>
      <c r="N35" s="11" t="s">
        <v>360</v>
      </c>
      <c r="O35" s="11" t="s">
        <v>374</v>
      </c>
      <c r="P35" s="12" t="str">
        <f t="shared" si="1"/>
        <v/>
      </c>
      <c r="Q35" s="20" t="str">
        <f t="shared" si="2"/>
        <v/>
      </c>
      <c r="R35" s="13" t="s">
        <v>428</v>
      </c>
    </row>
    <row r="36" spans="1:18" ht="32">
      <c r="A36" s="10" t="str">
        <f t="shared" ca="1" si="0"/>
        <v>FORTHCOMING</v>
      </c>
      <c r="B36" s="3" t="s">
        <v>268</v>
      </c>
      <c r="C36" s="2" t="s">
        <v>276</v>
      </c>
      <c r="D36" s="2" t="s">
        <v>277</v>
      </c>
      <c r="E36" s="2" t="s">
        <v>278</v>
      </c>
      <c r="F36" s="2" t="s">
        <v>279</v>
      </c>
      <c r="G36" s="2" t="s">
        <v>280</v>
      </c>
      <c r="H36" s="2" t="s">
        <v>281</v>
      </c>
      <c r="I36" s="2" t="s">
        <v>282</v>
      </c>
      <c r="J36" s="2" t="s">
        <v>283</v>
      </c>
      <c r="K36" s="2" t="s">
        <v>257</v>
      </c>
      <c r="L36" s="2" t="s">
        <v>258</v>
      </c>
      <c r="M36" s="11" t="s">
        <v>358</v>
      </c>
      <c r="N36" s="11" t="s">
        <v>360</v>
      </c>
      <c r="O36" s="11" t="s">
        <v>374</v>
      </c>
      <c r="P36" s="12" t="str">
        <f t="shared" si="1"/>
        <v/>
      </c>
      <c r="Q36" s="20" t="str">
        <f t="shared" si="2"/>
        <v/>
      </c>
      <c r="R36" s="13" t="s">
        <v>428</v>
      </c>
    </row>
    <row r="37" spans="1:18" ht="32">
      <c r="A37" s="10" t="str">
        <f t="shared" ca="1" si="0"/>
        <v>FORTHCOMING</v>
      </c>
      <c r="B37" s="3" t="s">
        <v>284</v>
      </c>
      <c r="C37" s="2" t="s">
        <v>134</v>
      </c>
      <c r="D37" s="2" t="s">
        <v>285</v>
      </c>
      <c r="E37" s="2" t="s">
        <v>286</v>
      </c>
      <c r="F37" s="2" t="s">
        <v>287</v>
      </c>
      <c r="G37" s="2" t="s">
        <v>288</v>
      </c>
      <c r="H37" s="2" t="s">
        <v>289</v>
      </c>
      <c r="I37" s="2" t="s">
        <v>290</v>
      </c>
      <c r="J37" s="2" t="s">
        <v>291</v>
      </c>
      <c r="K37" s="2" t="s">
        <v>257</v>
      </c>
      <c r="L37" s="2" t="s">
        <v>258</v>
      </c>
      <c r="M37" s="11" t="s">
        <v>358</v>
      </c>
      <c r="N37" s="11" t="s">
        <v>360</v>
      </c>
      <c r="O37" s="11" t="s">
        <v>374</v>
      </c>
      <c r="P37" s="12" t="str">
        <f t="shared" si="1"/>
        <v/>
      </c>
      <c r="Q37" s="20" t="str">
        <f t="shared" si="2"/>
        <v/>
      </c>
      <c r="R37" s="13" t="s">
        <v>428</v>
      </c>
    </row>
    <row r="38" spans="1:18" ht="32">
      <c r="A38" s="10" t="str">
        <f t="shared" ca="1" si="0"/>
        <v>FORTHCOMING</v>
      </c>
      <c r="B38" s="3" t="s">
        <v>284</v>
      </c>
      <c r="C38" s="2" t="s">
        <v>134</v>
      </c>
      <c r="D38" s="2" t="s">
        <v>292</v>
      </c>
      <c r="E38" s="2" t="s">
        <v>23</v>
      </c>
      <c r="F38" s="2" t="s">
        <v>293</v>
      </c>
      <c r="G38" s="2" t="s">
        <v>294</v>
      </c>
      <c r="H38" s="2" t="s">
        <v>295</v>
      </c>
      <c r="I38" s="2" t="s">
        <v>296</v>
      </c>
      <c r="J38" s="2" t="s">
        <v>297</v>
      </c>
      <c r="K38" s="2" t="s">
        <v>257</v>
      </c>
      <c r="L38" s="2" t="s">
        <v>258</v>
      </c>
      <c r="M38" s="11" t="s">
        <v>358</v>
      </c>
      <c r="N38" s="11" t="s">
        <v>360</v>
      </c>
      <c r="O38" s="11" t="s">
        <v>374</v>
      </c>
      <c r="P38" s="12" t="str">
        <f t="shared" si="1"/>
        <v/>
      </c>
      <c r="Q38" s="20" t="str">
        <f t="shared" si="2"/>
        <v/>
      </c>
      <c r="R38" s="13" t="s">
        <v>428</v>
      </c>
    </row>
    <row r="39" spans="1:18" ht="32">
      <c r="A39" s="10" t="str">
        <f t="shared" ca="1" si="0"/>
        <v>FORTHCOMING</v>
      </c>
      <c r="B39" s="3" t="s">
        <v>298</v>
      </c>
      <c r="C39" s="2" t="s">
        <v>134</v>
      </c>
      <c r="D39" s="2" t="s">
        <v>299</v>
      </c>
      <c r="E39" s="2" t="s">
        <v>32</v>
      </c>
      <c r="F39" s="2" t="s">
        <v>300</v>
      </c>
      <c r="G39" s="2" t="s">
        <v>301</v>
      </c>
      <c r="H39" s="2" t="s">
        <v>302</v>
      </c>
      <c r="I39" s="2" t="s">
        <v>303</v>
      </c>
      <c r="J39" s="2" t="s">
        <v>304</v>
      </c>
      <c r="K39" s="2" t="s">
        <v>257</v>
      </c>
      <c r="L39" s="2" t="s">
        <v>258</v>
      </c>
      <c r="M39" s="11" t="s">
        <v>358</v>
      </c>
      <c r="N39" s="11" t="s">
        <v>360</v>
      </c>
      <c r="O39" s="11" t="s">
        <v>374</v>
      </c>
      <c r="P39" s="12" t="str">
        <f t="shared" si="1"/>
        <v/>
      </c>
      <c r="Q39" s="20" t="str">
        <f t="shared" si="2"/>
        <v/>
      </c>
      <c r="R39" s="13" t="s">
        <v>428</v>
      </c>
    </row>
    <row r="40" spans="1:18" ht="48">
      <c r="A40" s="8" t="str">
        <f t="shared" ca="1" si="0"/>
        <v>DEADLINE PASSED</v>
      </c>
      <c r="B40" s="3">
        <v>46283</v>
      </c>
      <c r="C40" s="2" t="s">
        <v>305</v>
      </c>
      <c r="D40" s="2" t="s">
        <v>306</v>
      </c>
      <c r="E40" s="2" t="s">
        <v>307</v>
      </c>
      <c r="F40" s="2" t="s">
        <v>308</v>
      </c>
      <c r="G40" s="2" t="s">
        <v>309</v>
      </c>
      <c r="H40" s="2" t="s">
        <v>310</v>
      </c>
      <c r="I40" s="2" t="s">
        <v>311</v>
      </c>
      <c r="J40" s="2" t="s">
        <v>312</v>
      </c>
      <c r="K40" s="2" t="s">
        <v>313</v>
      </c>
      <c r="L40" s="2" t="s">
        <v>124</v>
      </c>
      <c r="M40" s="11" t="s">
        <v>358</v>
      </c>
      <c r="N40" s="11" t="s">
        <v>361</v>
      </c>
      <c r="O40" s="11" t="s">
        <v>374</v>
      </c>
      <c r="P40" s="12" t="str">
        <f t="shared" si="1"/>
        <v/>
      </c>
      <c r="Q40" s="20" t="str">
        <f t="shared" si="2"/>
        <v/>
      </c>
      <c r="R40" s="13" t="s">
        <v>428</v>
      </c>
    </row>
    <row r="41" spans="1:18" ht="64">
      <c r="A41" s="8" t="str">
        <f t="shared" ca="1" si="0"/>
        <v>DEADLINE PASSED</v>
      </c>
      <c r="B41" s="3">
        <v>46286</v>
      </c>
      <c r="C41" s="2" t="s">
        <v>314</v>
      </c>
      <c r="D41" s="2" t="s">
        <v>315</v>
      </c>
      <c r="E41" s="2" t="s">
        <v>316</v>
      </c>
      <c r="F41" s="2" t="s">
        <v>317</v>
      </c>
      <c r="G41" s="2" t="s">
        <v>318</v>
      </c>
      <c r="H41" s="2" t="s">
        <v>319</v>
      </c>
      <c r="I41" s="2" t="s">
        <v>320</v>
      </c>
      <c r="J41" s="2" t="s">
        <v>321</v>
      </c>
      <c r="K41" s="2" t="s">
        <v>322</v>
      </c>
      <c r="L41" s="2" t="s">
        <v>124</v>
      </c>
      <c r="M41" s="11" t="s">
        <v>358</v>
      </c>
      <c r="N41" s="11" t="s">
        <v>362</v>
      </c>
      <c r="O41" s="11" t="s">
        <v>374</v>
      </c>
      <c r="P41" s="12" t="str">
        <f t="shared" si="1"/>
        <v/>
      </c>
      <c r="Q41" s="20" t="str">
        <f t="shared" si="2"/>
        <v/>
      </c>
      <c r="R41" s="13" t="s">
        <v>428</v>
      </c>
    </row>
    <row r="42" spans="1:18" ht="48">
      <c r="A42" s="18" t="str">
        <f t="shared" ref="A42:A50" ca="1" si="3">IF(AND(ISNUMBER(B42),B42&lt;TODAY()),"DEADLINE PASSED",N42)</f>
        <v>CLOSED – monitor recurrence</v>
      </c>
      <c r="B42" t="s">
        <v>363</v>
      </c>
      <c r="C42" t="s">
        <v>305</v>
      </c>
      <c r="D42" t="s">
        <v>364</v>
      </c>
      <c r="E42" t="s">
        <v>365</v>
      </c>
      <c r="F42" s="2" t="s">
        <v>366</v>
      </c>
      <c r="G42" s="2" t="s">
        <v>367</v>
      </c>
      <c r="H42" s="2" t="s">
        <v>368</v>
      </c>
      <c r="I42" s="2" t="s">
        <v>369</v>
      </c>
      <c r="J42" s="2" t="s">
        <v>370</v>
      </c>
      <c r="K42" s="2" t="s">
        <v>371</v>
      </c>
      <c r="L42" t="s">
        <v>372</v>
      </c>
      <c r="M42" s="16" t="s">
        <v>373</v>
      </c>
      <c r="N42" s="16" t="s">
        <v>361</v>
      </c>
      <c r="O42" s="11" t="s">
        <v>374</v>
      </c>
      <c r="P42" s="17" t="str">
        <f t="shared" ref="P42:P48" si="4">IF(O42&lt;&gt;"Yes","","New funding opportunity added: "&amp;D42)</f>
        <v/>
      </c>
      <c r="Q42" s="20" t="str">
        <f t="shared" si="2"/>
        <v/>
      </c>
      <c r="R42" s="13" t="s">
        <v>428</v>
      </c>
    </row>
    <row r="43" spans="1:18" ht="48">
      <c r="A43" s="18" t="str">
        <f t="shared" ca="1" si="3"/>
        <v>CLOSED – monitor recurrence</v>
      </c>
      <c r="B43" t="s">
        <v>363</v>
      </c>
      <c r="C43" t="s">
        <v>305</v>
      </c>
      <c r="D43" t="s">
        <v>375</v>
      </c>
      <c r="E43" t="s">
        <v>376</v>
      </c>
      <c r="F43" s="2" t="s">
        <v>366</v>
      </c>
      <c r="G43" s="2" t="s">
        <v>377</v>
      </c>
      <c r="H43" s="2" t="s">
        <v>378</v>
      </c>
      <c r="I43" s="2" t="s">
        <v>379</v>
      </c>
      <c r="J43" s="2" t="s">
        <v>370</v>
      </c>
      <c r="K43" s="2" t="s">
        <v>371</v>
      </c>
      <c r="L43" t="s">
        <v>372</v>
      </c>
      <c r="M43" s="16" t="s">
        <v>373</v>
      </c>
      <c r="N43" s="16" t="s">
        <v>361</v>
      </c>
      <c r="O43" s="11" t="s">
        <v>374</v>
      </c>
      <c r="P43" s="17" t="str">
        <f t="shared" si="4"/>
        <v/>
      </c>
      <c r="Q43" s="20" t="str">
        <f t="shared" si="2"/>
        <v/>
      </c>
      <c r="R43" s="13" t="s">
        <v>428</v>
      </c>
    </row>
    <row r="44" spans="1:18" ht="48">
      <c r="A44" s="18" t="str">
        <f t="shared" ca="1" si="3"/>
        <v>CLOSED – monitor recurrence</v>
      </c>
      <c r="B44" t="s">
        <v>380</v>
      </c>
      <c r="C44" t="s">
        <v>305</v>
      </c>
      <c r="D44" t="s">
        <v>381</v>
      </c>
      <c r="E44" t="s">
        <v>382</v>
      </c>
      <c r="F44" s="2" t="s">
        <v>383</v>
      </c>
      <c r="G44" s="2" t="s">
        <v>384</v>
      </c>
      <c r="H44" s="2" t="s">
        <v>385</v>
      </c>
      <c r="I44" s="2" t="s">
        <v>386</v>
      </c>
      <c r="J44" s="2" t="s">
        <v>387</v>
      </c>
      <c r="K44" s="2" t="s">
        <v>371</v>
      </c>
      <c r="L44" t="s">
        <v>372</v>
      </c>
      <c r="M44" s="16" t="s">
        <v>373</v>
      </c>
      <c r="N44" s="16" t="s">
        <v>361</v>
      </c>
      <c r="O44" s="11" t="s">
        <v>374</v>
      </c>
      <c r="P44" s="17" t="str">
        <f t="shared" si="4"/>
        <v/>
      </c>
      <c r="Q44" s="20" t="str">
        <f t="shared" si="2"/>
        <v/>
      </c>
      <c r="R44" s="13" t="s">
        <v>428</v>
      </c>
    </row>
    <row r="45" spans="1:18" ht="80">
      <c r="A45" s="19" t="str">
        <f t="shared" ca="1" si="3"/>
        <v>FORTHCOMING</v>
      </c>
      <c r="B45" t="s">
        <v>388</v>
      </c>
      <c r="C45" t="s">
        <v>389</v>
      </c>
      <c r="D45" t="s">
        <v>390</v>
      </c>
      <c r="E45" t="s">
        <v>391</v>
      </c>
      <c r="F45" s="2" t="s">
        <v>392</v>
      </c>
      <c r="G45" s="2" t="s">
        <v>393</v>
      </c>
      <c r="H45" s="2" t="s">
        <v>394</v>
      </c>
      <c r="I45" s="2" t="s">
        <v>395</v>
      </c>
      <c r="J45" s="2" t="s">
        <v>396</v>
      </c>
      <c r="K45" s="2" t="s">
        <v>397</v>
      </c>
      <c r="L45" t="s">
        <v>12</v>
      </c>
      <c r="M45" s="16" t="s">
        <v>373</v>
      </c>
      <c r="N45" s="16" t="s">
        <v>360</v>
      </c>
      <c r="O45" s="11" t="s">
        <v>374</v>
      </c>
      <c r="P45" s="17" t="str">
        <f t="shared" si="4"/>
        <v/>
      </c>
      <c r="Q45" s="20" t="str">
        <f t="shared" si="2"/>
        <v/>
      </c>
      <c r="R45" s="13" t="s">
        <v>428</v>
      </c>
    </row>
    <row r="46" spans="1:18" ht="64">
      <c r="A46" s="19" t="str">
        <f t="shared" ca="1" si="3"/>
        <v>FORTHCOMING</v>
      </c>
      <c r="B46" t="s">
        <v>388</v>
      </c>
      <c r="C46" t="s">
        <v>389</v>
      </c>
      <c r="D46" t="s">
        <v>398</v>
      </c>
      <c r="E46" t="s">
        <v>399</v>
      </c>
      <c r="F46" s="2" t="s">
        <v>400</v>
      </c>
      <c r="G46" s="2" t="s">
        <v>401</v>
      </c>
      <c r="H46" s="2" t="s">
        <v>402</v>
      </c>
      <c r="I46" s="2" t="s">
        <v>403</v>
      </c>
      <c r="J46" s="2" t="s">
        <v>404</v>
      </c>
      <c r="K46" s="2" t="s">
        <v>405</v>
      </c>
      <c r="L46" t="s">
        <v>12</v>
      </c>
      <c r="M46" s="16" t="s">
        <v>373</v>
      </c>
      <c r="N46" s="16" t="s">
        <v>360</v>
      </c>
      <c r="O46" s="11" t="s">
        <v>374</v>
      </c>
      <c r="P46" s="17" t="str">
        <f t="shared" si="4"/>
        <v/>
      </c>
      <c r="Q46" s="20" t="str">
        <f t="shared" si="2"/>
        <v/>
      </c>
      <c r="R46" s="13" t="s">
        <v>428</v>
      </c>
    </row>
    <row r="47" spans="1:18" ht="64">
      <c r="A47" s="19" t="str">
        <f t="shared" ca="1" si="3"/>
        <v>FORTHCOMING</v>
      </c>
      <c r="B47" t="s">
        <v>388</v>
      </c>
      <c r="C47" t="s">
        <v>389</v>
      </c>
      <c r="D47" t="s">
        <v>406</v>
      </c>
      <c r="E47" t="s">
        <v>407</v>
      </c>
      <c r="F47" s="2" t="s">
        <v>408</v>
      </c>
      <c r="G47" s="2" t="s">
        <v>409</v>
      </c>
      <c r="H47" s="2" t="s">
        <v>410</v>
      </c>
      <c r="I47" s="2" t="s">
        <v>411</v>
      </c>
      <c r="J47" s="2" t="s">
        <v>412</v>
      </c>
      <c r="K47" s="2" t="s">
        <v>413</v>
      </c>
      <c r="L47" t="s">
        <v>12</v>
      </c>
      <c r="M47" s="16" t="s">
        <v>373</v>
      </c>
      <c r="N47" s="16" t="s">
        <v>360</v>
      </c>
      <c r="O47" s="11" t="s">
        <v>374</v>
      </c>
      <c r="P47" s="17" t="str">
        <f t="shared" si="4"/>
        <v/>
      </c>
      <c r="Q47" s="20" t="str">
        <f t="shared" si="2"/>
        <v/>
      </c>
      <c r="R47" s="13" t="s">
        <v>428</v>
      </c>
    </row>
    <row r="48" spans="1:18" ht="64">
      <c r="A48" s="18" t="str">
        <f t="shared" ca="1" si="3"/>
        <v>CLOSED – monitor recurrence</v>
      </c>
      <c r="B48" t="s">
        <v>363</v>
      </c>
      <c r="C48" t="s">
        <v>414</v>
      </c>
      <c r="D48" t="s">
        <v>415</v>
      </c>
      <c r="E48" t="s">
        <v>416</v>
      </c>
      <c r="F48" s="2" t="s">
        <v>417</v>
      </c>
      <c r="G48" s="2" t="s">
        <v>418</v>
      </c>
      <c r="H48" s="2" t="s">
        <v>419</v>
      </c>
      <c r="I48" s="2" t="s">
        <v>420</v>
      </c>
      <c r="J48" s="2" t="s">
        <v>421</v>
      </c>
      <c r="K48" s="2" t="s">
        <v>422</v>
      </c>
      <c r="L48" t="s">
        <v>423</v>
      </c>
      <c r="M48" s="16" t="s">
        <v>373</v>
      </c>
      <c r="N48" s="16" t="s">
        <v>361</v>
      </c>
      <c r="O48" s="11" t="s">
        <v>374</v>
      </c>
      <c r="P48" s="17" t="str">
        <f t="shared" si="4"/>
        <v/>
      </c>
      <c r="Q48" s="20" t="str">
        <f t="shared" si="2"/>
        <v/>
      </c>
      <c r="R48" s="13" t="s">
        <v>428</v>
      </c>
    </row>
    <row r="49" spans="1:18" ht="80">
      <c r="A49" s="8" t="str">
        <f t="shared" ca="1" si="3"/>
        <v>OPEN</v>
      </c>
      <c r="B49" s="3">
        <v>46362</v>
      </c>
      <c r="C49" t="s">
        <v>429</v>
      </c>
      <c r="D49" t="s">
        <v>430</v>
      </c>
      <c r="E49" t="s">
        <v>431</v>
      </c>
      <c r="F49" s="2" t="s">
        <v>432</v>
      </c>
      <c r="G49" s="2" t="s">
        <v>433</v>
      </c>
      <c r="H49" s="2" t="s">
        <v>434</v>
      </c>
      <c r="I49" s="2" t="s">
        <v>435</v>
      </c>
      <c r="J49" s="2" t="s">
        <v>436</v>
      </c>
      <c r="K49" s="21" t="s">
        <v>437</v>
      </c>
      <c r="L49" t="s">
        <v>438</v>
      </c>
      <c r="M49" s="11" t="s">
        <v>358</v>
      </c>
      <c r="N49" s="11" t="s">
        <v>359</v>
      </c>
      <c r="O49" s="11" t="s">
        <v>427</v>
      </c>
      <c r="P49" s="17" t="str">
        <f t="shared" ref="P49" si="5">IF(O49&lt;&gt;"Yes","","New funding opportunity added: "&amp;D49)</f>
        <v>New funding opportunity added: Venture Scientist 100</v>
      </c>
      <c r="Q49" s="20" t="str">
        <f t="shared" ref="Q49" si="6">IF(O49&lt;&gt;"Yes","","Hello,"&amp;CHAR(10)&amp;CHAR(10)&amp;"A new funding opportunity has been added to the Funding Finder for Statistics."&amp;CHAR(10)&amp;CHAR(10)&amp;"**"&amp;D49&amp;"**"&amp;CHAR(10)&amp;CHAR(10)&amp;"Funder: "&amp;C49&amp;CHAR(10)&amp;"Deadline: "&amp;IF(ISNUMBER(B49),TEXT(B49,"d mmmm yyyy"),B49)&amp;CHAR(10)&amp;"Funding and duration: "&amp;F49&amp;CHAR(10)&amp;CHAR(10)&amp;"Who can apply: "&amp;G49&amp;CHAR(10)&amp;CHAR(10)&amp;"Why it may be relevant to Statistics: "&amp;H49&amp;CHAR(10)&amp;CHAR(10)&amp;"Themes: "&amp;I49&amp;CHAR(10)&amp;CHAR(10)&amp;"Official opportunity: "&amp;K49&amp;CHAR(10)&amp;CHAR(10)&amp;"Funding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**Venture Scientist 100**
Funder: Conception X
Deadline: 6 December 2026
Funding and duration: Free 9-month part-time venture-building fellowship (Mar–Nov 2027); selected teams can access up to £300k equity investment
Who can apply: PhD students at UK/European universities working on innovative technology based on their research; exceptional recent PhD graduates, postdocs and ECRs may also be considered
Why it may be relevant to Statistics: Opportunity for Statistics PhD researchers/ECRs to explore the commercial potential of research, particularly in AI/ML, data science and other technical areas.
Themes: PGR; ECR; entrepreneurship; innovation; AI/ML
Official opportunity: https://www.conceptionx.org/venture-scientist-100
Funding Finder: https://uofgstats.github.io/research-and-scholarship/
Please check the official funder page before preparing an application, as deadlines and eligibility requirements can change.
Best wishes,
Daniela &amp; Vinny
Research Lead for Statistics</v>
      </c>
      <c r="R49" s="13">
        <v>46296</v>
      </c>
    </row>
    <row r="50" spans="1:18" ht="128">
      <c r="A50" s="8" t="str">
        <f t="shared" ca="1" si="3"/>
        <v>FORTHCOMING</v>
      </c>
      <c r="B50" t="s">
        <v>439</v>
      </c>
      <c r="C50" t="s">
        <v>440</v>
      </c>
      <c r="D50" t="s">
        <v>441</v>
      </c>
      <c r="E50" t="s">
        <v>32</v>
      </c>
      <c r="F50" s="2" t="s">
        <v>442</v>
      </c>
      <c r="G50" s="2" t="s">
        <v>443</v>
      </c>
      <c r="H50" s="2" t="s">
        <v>444</v>
      </c>
      <c r="I50" s="2" t="s">
        <v>445</v>
      </c>
      <c r="J50" s="2" t="s">
        <v>446</v>
      </c>
      <c r="K50" s="21" t="s">
        <v>467</v>
      </c>
      <c r="L50" t="s">
        <v>447</v>
      </c>
      <c r="M50" s="11" t="s">
        <v>358</v>
      </c>
      <c r="N50" s="11" t="s">
        <v>360</v>
      </c>
      <c r="O50" s="11" t="s">
        <v>427</v>
      </c>
      <c r="P50" s="17" t="str">
        <f t="shared" ref="P50:P51" si="7">IF(O50&lt;&gt;"Yes","","New funding opportunity added: "&amp;D50)</f>
        <v>New funding opportunity added: International Fellowships 2027</v>
      </c>
      <c r="Q50" s="20" t="str">
        <f t="shared" ref="Q50:Q51" si="8">IF(O50&lt;&gt;"Yes","","Hello,"&amp;CHAR(10)&amp;CHAR(10)&amp;"A new funding opportunity has been added to the Funding Finder for Statistics."&amp;CHAR(10)&amp;CHAR(10)&amp;"**"&amp;D50&amp;"**"&amp;CHAR(10)&amp;CHAR(10)&amp;"Funder: "&amp;C50&amp;CHAR(10)&amp;"Deadline: "&amp;IF(ISNUMBER(B50),TEXT(B50,"d mmmm yyyy"),B50)&amp;CHAR(10)&amp;"Funding and duration: "&amp;F50&amp;CHAR(10)&amp;CHAR(10)&amp;"Who can apply: "&amp;G50&amp;CHAR(10)&amp;CHAR(10)&amp;"Why it may be relevant to Statistics: "&amp;H50&amp;CHAR(10)&amp;CHAR(10)&amp;"Themes: "&amp;I50&amp;CHAR(10)&amp;CHAR(10)&amp;"Official opportunity: "&amp;K50&amp;CHAR(10)&amp;CHAR(10)&amp;"Funding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**International Fellowships 2027**
Funder: Royal Society / British Academy
Deadline: Early–mid March 2027 (TBC)
Funding and duration: 2 years; salary at 80% FEC + research expenses (2026: up to £12k) + relocation costs (2026: up to £8k)
Who can apply: International ECRs based outside the UK; normally ≤5 years active full-time postdoctoral experience. Applicant must have/complete PhD by final awards stage, must not hold UK citizenship, and generally must not have lived/worked/researched in UK during previous 12 months. UK Sponsor required. For 2027, max. 8 applications per UK institution.
Why it may be relevant to Statistics: Opportunity to recruit an international ECR to Glasgow for two years. Mathematics is explicitly within Royal Society remit; potentially relevant across Statistics research areas. Glasgow Statistics academics can act as UK Sponsors.
Themes: All research areas; ECR; International; Fellowship
Official opportunity: https://www.thebritishacademy.ac.uk/documents/6283/International_Fellowships_2027_-_FAQs.pdf
Funding Finder: https://uofgstats.github.io/research-and-scholarship/
Please check the official funder page before preparing an application, as deadlines and eligibility requirements can change.
Best wishes,
Daniela &amp; Vinny
Research Lead for Statistics</v>
      </c>
      <c r="R50" s="13">
        <v>46296</v>
      </c>
    </row>
    <row r="51" spans="1:18" ht="96">
      <c r="A51" t="str">
        <f ca="1">IF(AND(ISNUMBER(B51),B51&lt;TODAY()),"DEADLINE PASSED",N51)</f>
        <v>OPEN</v>
      </c>
      <c r="B51" t="s">
        <v>448</v>
      </c>
      <c r="C51" t="s">
        <v>449</v>
      </c>
      <c r="D51" t="s">
        <v>260</v>
      </c>
      <c r="E51" t="s">
        <v>455</v>
      </c>
      <c r="F51" s="2" t="s">
        <v>450</v>
      </c>
      <c r="G51" s="2" t="s">
        <v>451</v>
      </c>
      <c r="H51" s="2" t="s">
        <v>452</v>
      </c>
      <c r="I51" s="2" t="s">
        <v>453</v>
      </c>
      <c r="J51" s="2" t="s">
        <v>454</v>
      </c>
      <c r="K51" s="21" t="s">
        <v>457</v>
      </c>
      <c r="M51" s="11" t="s">
        <v>358</v>
      </c>
      <c r="N51" s="11" t="s">
        <v>359</v>
      </c>
      <c r="O51" s="11" t="s">
        <v>427</v>
      </c>
      <c r="P51" s="17" t="str">
        <f t="shared" si="7"/>
        <v>New funding opportunity added: What Works Centre for a climate resilient UK</v>
      </c>
      <c r="Q51" s="20" t="str">
        <f t="shared" si="8"/>
        <v>Hello,
A new funding opportunity has been added to the Funding Finder for Statistics.
**What Works Centre for a climate resilient UK**
Funder: ESRC / UKRI, co-funded by Defra
Deadline: 15 December 2026, 16:00
Funding and duration: Up to £21.1m funder contribution; 44 months; single award; 80% FEC (with some exceptions at 100%). Must start by 1 August 2027.
Who can apply: Researchers based at UK research organisations eligible for UKRI/ESRC funding. At least one project co-lead from a UK business, third-sector or government organisation is required.
Why it may be relevant to Statistics: Major interdisciplinary opportunity with a strong methodological component, explicitly including robust evaluation, experimental and quasi-experimental methods, and causal reasoning, with applications including wildfire, drought, flooding and extreme heat.
Themes: Climate resilience; environmental statistics; causal inference; evaluation; extremes; interdisciplinary research
Official opportunity: https://www.ukri.org/opportunity/what-works-centre-for-a-climate-resilient-uk/
Funding Finder: https://uofgstats.github.io/research-and-scholarship/
Please check the official funder page before preparing an application, as deadlines and eligibility requirements can change.
Best wishes,
Daniela &amp; Vinny
Research Lead for Statistics</v>
      </c>
      <c r="R51" s="13">
        <v>46297</v>
      </c>
    </row>
    <row r="52" spans="1:18" ht="112">
      <c r="A52" t="str">
        <f ca="1">IF(AND(ISNUMBER(B52),B52&lt;TODAY()),"DEADLINE PASSED",N52)</f>
        <v>OPEN</v>
      </c>
      <c r="B52" t="s">
        <v>458</v>
      </c>
      <c r="C52" t="s">
        <v>459</v>
      </c>
      <c r="D52" t="s">
        <v>460</v>
      </c>
      <c r="E52" t="s">
        <v>85</v>
      </c>
      <c r="F52" s="2" t="s">
        <v>461</v>
      </c>
      <c r="G52" s="2" t="s">
        <v>462</v>
      </c>
      <c r="H52" s="2" t="s">
        <v>463</v>
      </c>
      <c r="I52" s="2" t="s">
        <v>464</v>
      </c>
      <c r="J52" s="2" t="s">
        <v>465</v>
      </c>
      <c r="K52" s="21" t="s">
        <v>466</v>
      </c>
      <c r="L52" s="2" t="s">
        <v>134</v>
      </c>
      <c r="M52" s="11" t="s">
        <v>358</v>
      </c>
      <c r="N52" s="11" t="s">
        <v>359</v>
      </c>
      <c r="O52" s="11" t="s">
        <v>427</v>
      </c>
      <c r="P52" s="17" t="str">
        <f t="shared" ref="P52:P53" si="9">IF(O52&lt;&gt;"Yes","","New funding opportunity added: "&amp;D52)</f>
        <v>New funding opportunity added: NERC urgency funding</v>
      </c>
      <c r="Q52" s="20" t="str">
        <f t="shared" ref="Q52:Q53" si="10">IF(O52&lt;&gt;"Yes","","Hello,"&amp;CHAR(10)&amp;CHAR(10)&amp;"A new funding opportunity has been added to the Funding Finder for Statistics."&amp;CHAR(10)&amp;CHAR(10)&amp;"**"&amp;D52&amp;"**"&amp;CHAR(10)&amp;CHAR(10)&amp;"Funder: "&amp;C52&amp;CHAR(10)&amp;"Deadline: "&amp;IF(ISNUMBER(B52),TEXT(B52,"d mmmm yyyy"),B52)&amp;CHAR(10)&amp;"Funding and duration: "&amp;F52&amp;CHAR(10)&amp;CHAR(10)&amp;"Who can apply: "&amp;G52&amp;CHAR(10)&amp;CHAR(10)&amp;"Why it may be relevant to Statistics: "&amp;H52&amp;CHAR(10)&amp;CHAR(10)&amp;"Themes: "&amp;I52&amp;CHAR(10)&amp;CHAR(10)&amp;"Official opportunity: "&amp;K52&amp;CHAR(10)&amp;CHAR(10)&amp;"Funding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**NERC urgency funding**
Funder: NERC / UKRI
Deadline: Open – no fixed deadline
Funding and duration: Up to £100,000 FEC (NERC funds 80%); up to 1 year
Who can apply: Researchers at UK organisations eligible for NERC funding. Must respond to an unexpected, transient environmental event; outline required within 4 weeks of the event starting. Applicants cannot have been PL/PcL on another full application to this scheme in the previous 2 years.
Why it may be relevant to Statistics: Strong fit for environmental statistics and extremes, supporting rapid research following unexpected events such as droughts, floods and earthquakes, including collection and initial analysis of critical early data.
Themes: Environmental statistics; Extremes; Climate &amp; environment; Urgency funding
Official opportunity: https://www.ukri.org/opportunity/nerc-urgency-funding-open/
Funding Finder: https://uofgstats.github.io/research-and-scholarship/
Please check the official funder page before preparing an application, as deadlines and eligibility requirements can change.
Best wishes,
Daniela &amp; Vinny
Research Lead for Statistics</v>
      </c>
      <c r="R52" s="13">
        <v>46298</v>
      </c>
    </row>
    <row r="53" spans="1:18" ht="80">
      <c r="A53" t="str">
        <f ca="1">IF(AND(ISNUMBER(B53),B53&lt;TODAY()),"DEADLINE PASSED",N53)</f>
        <v>OPEN</v>
      </c>
      <c r="B53" s="3">
        <v>46356</v>
      </c>
      <c r="C53" s="2" t="s">
        <v>468</v>
      </c>
      <c r="D53" s="2" t="s">
        <v>469</v>
      </c>
      <c r="E53" s="2" t="s">
        <v>470</v>
      </c>
      <c r="F53" s="2" t="s">
        <v>471</v>
      </c>
      <c r="G53" s="2" t="s">
        <v>472</v>
      </c>
      <c r="H53" s="2" t="s">
        <v>473</v>
      </c>
      <c r="I53" s="2" t="s">
        <v>474</v>
      </c>
      <c r="J53" s="2" t="s">
        <v>475</v>
      </c>
      <c r="K53" s="21" t="s">
        <v>476</v>
      </c>
      <c r="L53" t="s">
        <v>12</v>
      </c>
      <c r="M53" s="11" t="s">
        <v>358</v>
      </c>
      <c r="N53" s="11" t="s">
        <v>359</v>
      </c>
      <c r="O53" s="11" t="s">
        <v>427</v>
      </c>
      <c r="P53" s="17" t="str">
        <f t="shared" si="9"/>
        <v>New funding opportunity added: LMS Emmy Noether Fellowships</v>
      </c>
      <c r="Q53" s="20" t="str">
        <f t="shared" si="10"/>
        <v>Hello,
A new funding opportunity has been added to the Funding Finder for Statistics.
**LMS Emmy Noether Fellowships**
Funder: London Mathematical Society (LMS)
Deadline: 30 November 2026
Funding and duration: £2,000–£10,000; 1 year
Who can apply: Researchers in mathematical sciences with a PhD, based at a UK university/research institute, returning after a major caring-related career break or with significant ongoing caring responsibilities.
Why it may be relevant to Statistics: Open to mathematical sciences researchers, including statisticians; supports maintaining or re-establishing research following caring-related career disruption.
Themes: All research areas; Career development; Caring responsibilities; Fellowship
Official opportunity: https://www.lms.ac.uk/grants/lms-emmy-noether-fellowships
Funding Finder: https://uofgstats.github.io/research-and-scholarship/
Please check the official funder page before preparing an application, as deadlines and eligibility requirements can change.
Best wishes,
Daniela &amp; Vinny
Research Lead for Statistics</v>
      </c>
      <c r="R53" s="13"/>
    </row>
    <row r="54" spans="1:18" ht="32">
      <c r="A54" t="str">
        <f ca="1">IF(AND(ISNUMBER(B54),B54&lt;TODAY()),"DEADLINE PASSED",N54)</f>
        <v>OPEN</v>
      </c>
      <c r="B54" s="3">
        <v>46356</v>
      </c>
      <c r="C54" s="2" t="s">
        <v>468</v>
      </c>
      <c r="D54" s="2" t="s">
        <v>477</v>
      </c>
      <c r="E54" s="2" t="s">
        <v>470</v>
      </c>
      <c r="F54" s="2" t="s">
        <v>478</v>
      </c>
      <c r="G54" t="s">
        <v>479</v>
      </c>
      <c r="H54" t="s">
        <v>480</v>
      </c>
      <c r="I54" t="s">
        <v>481</v>
      </c>
      <c r="J54" t="s">
        <v>482</v>
      </c>
      <c r="K54" s="22" t="s">
        <v>483</v>
      </c>
      <c r="L54" t="s">
        <v>12</v>
      </c>
      <c r="M54" s="11" t="s">
        <v>358</v>
      </c>
      <c r="N54" s="11" t="s">
        <v>359</v>
      </c>
      <c r="O54" s="11" t="s">
        <v>427</v>
      </c>
      <c r="P54" s="17" t="str">
        <f t="shared" ref="P54" si="11">IF(O54&lt;&gt;"Yes","","New funding opportunity added: "&amp;D54)</f>
        <v>New funding opportunity added: LMS Grace Chisholm Young Fellowship</v>
      </c>
      <c r="Q54" s="20" t="str">
        <f t="shared" ref="Q54" si="12">IF(O54&lt;&gt;"Yes","","Hello,"&amp;CHAR(10)&amp;CHAR(10)&amp;"A new funding opportunity has been added to the Funding Finder for Statistics."&amp;CHAR(10)&amp;CHAR(10)&amp;"**"&amp;D54&amp;"**"&amp;CHAR(10)&amp;CHAR(10)&amp;"Funder: "&amp;C54&amp;CHAR(10)&amp;"Deadline: "&amp;IF(ISNUMBER(B54),TEXT(B54,"d mmmm yyyy"),B54)&amp;CHAR(10)&amp;"Funding and duration: "&amp;F54&amp;CHAR(10)&amp;CHAR(10)&amp;"Who can apply: "&amp;G54&amp;CHAR(10)&amp;CHAR(10)&amp;"Why it may be relevant to Statistics: "&amp;H54&amp;CHAR(10)&amp;CHAR(10)&amp;"Themes: "&amp;I54&amp;CHAR(10)&amp;CHAR(10)&amp;"Official opportunity: "&amp;K54&amp;CHAR(10)&amp;CHAR(10)&amp;"Funding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**LMS Grace Chisholm Young Fellowship**
Funder: London Mathematical Society (LMS)
Deadline: 30 November 2026
Funding and duration: £2,000 (£1,500 research support + £500 to host); 1 year
Who can apply: Mathematicians/statisticians who have at least submitted their PhD thesis and whose career is interrupted by family responsibilities, partner relocation or similar circumstances; must be affiliated with a UK Mathematics Department/research institute.
Why it may be relevant to Statistics: Available to mathematical sciences researchers, including statisticians, needing support to maintain research activity during a career interruption.
Themes: All research areas; Career development; Career break; Fellowship
Official opportunity: https://www.lms.ac.uk/grants/grace-chisholm-young-fellowships
Funding Finder: https://uofgstats.github.io/research-and-scholarship/
Please check the official funder page before preparing an application, as deadlines and eligibility requirements can change.
Best wishes,
Daniela &amp; Vinny
Research Lead for Statistics</v>
      </c>
      <c r="R54" s="13"/>
    </row>
    <row r="55" spans="1:18" ht="32">
      <c r="A55" t="str">
        <f ca="1">IF(AND(ISNUMBER(B55),B55&lt;TODAY()),"DEADLINE PASSED",N55)</f>
        <v>OPEN</v>
      </c>
      <c r="B55" s="3">
        <v>46372</v>
      </c>
      <c r="C55" s="2" t="s">
        <v>468</v>
      </c>
      <c r="D55" s="2" t="s">
        <v>484</v>
      </c>
      <c r="E55" s="2" t="s">
        <v>470</v>
      </c>
      <c r="F55" t="s">
        <v>485</v>
      </c>
      <c r="G55" t="s">
        <v>486</v>
      </c>
      <c r="H55" t="s">
        <v>487</v>
      </c>
      <c r="I55" t="s">
        <v>488</v>
      </c>
      <c r="J55" t="s">
        <v>489</v>
      </c>
      <c r="L55" s="22" t="s">
        <v>490</v>
      </c>
      <c r="M55" s="11" t="s">
        <v>358</v>
      </c>
      <c r="N55" s="11" t="s">
        <v>359</v>
      </c>
      <c r="O55" s="11" t="s">
        <v>427</v>
      </c>
      <c r="P55" s="17" t="str">
        <f t="shared" ref="P55" si="13">IF(O55&lt;&gt;"Yes","","New funding opportunity added: "&amp;D55)</f>
        <v>New funding opportunity added: LMS Inclusion and Diversity Fund</v>
      </c>
      <c r="Q55" s="20" t="str">
        <f t="shared" ref="Q55" si="14">IF(O55&lt;&gt;"Yes","","Hello,"&amp;CHAR(10)&amp;CHAR(10)&amp;"A new funding opportunity has been added to the Funding Finder for Statistics."&amp;CHAR(10)&amp;CHAR(10)&amp;"**"&amp;D55&amp;"**"&amp;CHAR(10)&amp;CHAR(10)&amp;"Funder: "&amp;C55&amp;CHAR(10)&amp;"Deadline: "&amp;IF(ISNUMBER(B55),TEXT(B55,"d mmmm yyyy"),B55)&amp;CHAR(10)&amp;"Funding and duration: "&amp;F55&amp;CHAR(10)&amp;CHAR(10)&amp;"Who can apply: "&amp;G55&amp;CHAR(10)&amp;CHAR(10)&amp;"Why it may be relevant to Statistics: "&amp;H55&amp;CHAR(10)&amp;CHAR(10)&amp;"Themes: "&amp;I55&amp;CHAR(10)&amp;CHAR(10)&amp;"Official opportunity: "&amp;K55&amp;CHAR(10)&amp;CHAR(10)&amp;"Funding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**LMS Inclusion and Diversity Fund**
Funder: London Mathematical Society (LMS)
Deadline: 16 December 2026
Funding and duration: Up to £1,000
Who can apply: For UK-based events/activities promoting inclusion and diversity in mathematics; only one award per applicant per LMS financial year.
Why it may be relevant to Statistics: Can support Statistics events and activities promoting inclusion and diversity, including networking, mentoring and widening participation.
Themes: EDI; Events; Networking; Widening participation
Official opportunity: 
Funding Finder: https://uofgstats.github.io/research-and-scholarship/
Please check the official funder page before preparing an application, as deadlines and eligibility requirements can change.
Best wishes,
Daniela &amp; Vinny
Research Lead for Statistics</v>
      </c>
      <c r="R55" s="13"/>
    </row>
    <row r="56" spans="1:18" ht="64">
      <c r="A56" s="23" t="str">
        <f t="shared" ref="A56:A67" ca="1" si="15">IF(AND(ISNUMBER(B56),B56&lt;TODAY()),"DEADLINE PASSED",N56)</f>
        <v>DEADLINE PASSED</v>
      </c>
      <c r="B56" s="24">
        <v>46310</v>
      </c>
      <c r="C56" t="s">
        <v>491</v>
      </c>
      <c r="D56" t="s">
        <v>492</v>
      </c>
      <c r="E56" t="s">
        <v>493</v>
      </c>
      <c r="F56" s="2" t="s">
        <v>494</v>
      </c>
      <c r="G56" s="2" t="s">
        <v>495</v>
      </c>
      <c r="H56" s="2" t="s">
        <v>496</v>
      </c>
      <c r="I56" s="2" t="s">
        <v>497</v>
      </c>
      <c r="J56" s="2" t="s">
        <v>498</v>
      </c>
      <c r="K56" s="2" t="s">
        <v>499</v>
      </c>
      <c r="L56" s="2" t="s">
        <v>491</v>
      </c>
      <c r="M56" s="25" t="s">
        <v>535</v>
      </c>
      <c r="N56" s="25" t="s">
        <v>359</v>
      </c>
      <c r="O56" s="25" t="s">
        <v>427</v>
      </c>
      <c r="P56" s="26" t="str">
        <f t="shared" ref="P56:P64" si="16">IF(O56&lt;&gt;"Yes","","New funding opportunity added: "&amp;D56)</f>
        <v>New funding opportunity added: Learning &amp; Research Support Fund</v>
      </c>
      <c r="Q56" s="26" t="str">
        <f t="shared" ref="Q56:Q64" si="17">IF(O56&lt;&gt;"Yes","","Hello,"&amp;CHAR(10)&amp;CHAR(10)&amp;"A new funding opportunity has been added to the Funding Finder for Statistics."&amp;CHAR(10)&amp;CHAR(10)&amp;"**"&amp;D56&amp;"**"&amp;CHAR(10)&amp;CHAR(10)&amp;"Funder: "&amp;C56&amp;CHAR(10)&amp;"Deadline: "&amp;IF(ISNUMBER(B56),TEXT(B56,"d mmmm yyyy"),B56)&amp;CHAR(10)&amp;"Funding and duration: "&amp;F56&amp;CHAR(10)&amp;CHAR(10)&amp;"Who can apply: "&amp;G56&amp;CHAR(10)&amp;CHAR(10)&amp;"Why it may be relevant to Statistics: "&amp;H56&amp;CHAR(10)&amp;CHAR(10)&amp;"Themes: "&amp;I56&amp;CHAR(10)&amp;CHAR(10)&amp;"Official opportunity: "&amp;K56&amp;CHAR(10)&amp;CHAR(10)&amp;"Funding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**Learning &amp; Research Support Fund**
Funder: Glasgow Mathematical Journal Trust
Deadline: 15 October 2026
Funding and duration: Small grants; exceptionally up to £5,000
Who can apply: Applicants proposing mathematical activities with demonstrable benefit to mathematics across Scotland; PGR applicants require a staff financial guarantor.
Why it may be relevant to Statistics: Directly relevant to Statistics: supports conferences, workshops, summer schools, networks, lecture tours, research visits to Scotland and related publications benefiting mathematics in Scotland.
Themes: Scholarship; mathematical sciences; events; workshops; networks; research visits
Official opportunity: https://www.gmjtrust.org/funding/lr-support-fund
Funding Finder: https://uofgstats.github.io/research-and-scholarship/
Please check the official funder page before preparing an application, as deadlines and eligibility requirements can change.
Best wishes,
Daniela &amp; Vinny
Research Lead for Statistics</v>
      </c>
      <c r="R56" s="27">
        <v>46301</v>
      </c>
    </row>
    <row r="57" spans="1:18" ht="64">
      <c r="A57" s="28" t="str">
        <f t="shared" ca="1" si="15"/>
        <v>CLOSED – monitor recurrence</v>
      </c>
      <c r="B57" s="29" t="s">
        <v>500</v>
      </c>
      <c r="C57" s="30" t="s">
        <v>305</v>
      </c>
      <c r="D57" s="30" t="s">
        <v>501</v>
      </c>
      <c r="E57" s="30" t="s">
        <v>502</v>
      </c>
      <c r="F57" s="31" t="s">
        <v>503</v>
      </c>
      <c r="G57" s="31" t="s">
        <v>504</v>
      </c>
      <c r="H57" s="31" t="s">
        <v>505</v>
      </c>
      <c r="I57" s="31" t="s">
        <v>506</v>
      </c>
      <c r="J57" s="31" t="s">
        <v>507</v>
      </c>
      <c r="K57" s="31" t="s">
        <v>508</v>
      </c>
      <c r="L57" s="30" t="s">
        <v>509</v>
      </c>
      <c r="M57" s="25" t="s">
        <v>373</v>
      </c>
      <c r="N57" s="25" t="s">
        <v>361</v>
      </c>
      <c r="O57" s="25" t="s">
        <v>374</v>
      </c>
      <c r="P57" s="33" t="str">
        <f t="shared" si="16"/>
        <v/>
      </c>
      <c r="Q57" s="33" t="str">
        <f t="shared" si="17"/>
        <v/>
      </c>
      <c r="R57" s="34" t="s">
        <v>428</v>
      </c>
    </row>
    <row r="58" spans="1:18" ht="80">
      <c r="A58" s="23" t="str">
        <f t="shared" ca="1" si="15"/>
        <v>DEADLINE PASSED</v>
      </c>
      <c r="B58" s="24">
        <v>46273</v>
      </c>
      <c r="C58" t="s">
        <v>305</v>
      </c>
      <c r="D58" t="s">
        <v>510</v>
      </c>
      <c r="E58" t="s">
        <v>511</v>
      </c>
      <c r="F58" s="2" t="s">
        <v>512</v>
      </c>
      <c r="G58" s="2" t="s">
        <v>513</v>
      </c>
      <c r="H58" s="2" t="s">
        <v>514</v>
      </c>
      <c r="I58" s="2" t="s">
        <v>515</v>
      </c>
      <c r="J58" s="2" t="s">
        <v>516</v>
      </c>
      <c r="K58" s="2" t="s">
        <v>517</v>
      </c>
      <c r="L58" t="s">
        <v>518</v>
      </c>
      <c r="M58" s="25" t="s">
        <v>373</v>
      </c>
      <c r="N58" s="25" t="s">
        <v>361</v>
      </c>
      <c r="O58" s="25" t="s">
        <v>374</v>
      </c>
      <c r="P58" s="33" t="str">
        <f t="shared" si="16"/>
        <v/>
      </c>
      <c r="Q58" s="33" t="str">
        <f t="shared" si="17"/>
        <v/>
      </c>
      <c r="R58" s="34" t="s">
        <v>428</v>
      </c>
    </row>
    <row r="59" spans="1:18" ht="80">
      <c r="A59" s="23" t="str">
        <f t="shared" ca="1" si="15"/>
        <v>DEADLINE PASSED</v>
      </c>
      <c r="B59" s="29">
        <v>46086</v>
      </c>
      <c r="C59" s="30" t="s">
        <v>519</v>
      </c>
      <c r="D59" s="30" t="s">
        <v>520</v>
      </c>
      <c r="E59" s="30" t="s">
        <v>521</v>
      </c>
      <c r="F59" s="31" t="s">
        <v>522</v>
      </c>
      <c r="G59" s="31" t="s">
        <v>523</v>
      </c>
      <c r="H59" s="31" t="s">
        <v>524</v>
      </c>
      <c r="I59" s="31" t="s">
        <v>525</v>
      </c>
      <c r="J59" s="31" t="s">
        <v>526</v>
      </c>
      <c r="K59" s="31" t="s">
        <v>527</v>
      </c>
      <c r="L59" s="30" t="s">
        <v>528</v>
      </c>
      <c r="M59" s="25" t="s">
        <v>535</v>
      </c>
      <c r="N59" s="25" t="s">
        <v>361</v>
      </c>
      <c r="O59" s="25" t="s">
        <v>374</v>
      </c>
      <c r="P59" s="33" t="str">
        <f t="shared" si="16"/>
        <v/>
      </c>
      <c r="Q59" s="33" t="str">
        <f t="shared" si="17"/>
        <v/>
      </c>
      <c r="R59" s="34" t="s">
        <v>428</v>
      </c>
    </row>
    <row r="60" spans="1:18" ht="16">
      <c r="A60" s="23" t="str">
        <f t="shared" ca="1" si="15"/>
        <v>OPEN</v>
      </c>
      <c r="B60" t="s">
        <v>529</v>
      </c>
      <c r="C60" t="s">
        <v>134</v>
      </c>
      <c r="D60" t="s">
        <v>135</v>
      </c>
      <c r="E60" t="s">
        <v>85</v>
      </c>
      <c r="F60" t="s">
        <v>530</v>
      </c>
      <c r="G60" t="s">
        <v>531</v>
      </c>
      <c r="H60" t="s">
        <v>532</v>
      </c>
      <c r="I60" t="s">
        <v>533</v>
      </c>
      <c r="J60" t="s">
        <v>534</v>
      </c>
      <c r="K60" t="s">
        <v>141</v>
      </c>
      <c r="L60" s="32" t="s">
        <v>134</v>
      </c>
      <c r="M60" s="25" t="s">
        <v>358</v>
      </c>
      <c r="N60" s="25" t="s">
        <v>359</v>
      </c>
      <c r="O60" s="25" t="s">
        <v>427</v>
      </c>
      <c r="P60" s="26" t="str">
        <f t="shared" si="16"/>
        <v>New funding opportunity added: Transformative sustainable AI technologies</v>
      </c>
      <c r="Q60" s="26" t="str">
        <f t="shared" si="17"/>
        <v>Hello,
A new funding opportunity has been added to the Funding Finder for Statistics.
**Transformative sustainable AI technologies**
Funder: UKRI
Deadline: 10 Nov 2026 4pm
Funding and duration: Up to £602,500 FEC; UKRI funds 80% FEC; up to 24 months; projects start 1 Feb 2027
Who can apply: Researchers at UK research organisations eligible for UKRI funding. Open to research groups and individuals; standard UKRI individual eligibility applies. Applicants may be involved in max. 2 applications, only 1 as project lead.
Why it may be relevant to Statistics: Strong opportunity for Statistics/ML researchers developing novel AI methodology, particularly methods improving AI efficiency, robustness, reliability and sustainability. Relevant areas could include statistical learning, uncertainty, efficient algorithms and computationally efficient AI.
Themes: AI; Machine learning; Statistical learning; Sustainable AI; Computational statistics; Methodology
Official opportunity: https://www.ukri.org/opportunity/transformative-sustainable-ai-technologies/
Funding Finder: https://uofgstats.github.io/research-and-scholarship/
Please check the official funder page before preparing an application, as deadlines and eligibility requirements can change.
Best wishes,
Daniela &amp; Vinny
Research Lead for Statistics</v>
      </c>
      <c r="R60" s="27">
        <v>46301</v>
      </c>
    </row>
    <row r="61" spans="1:18">
      <c r="A61" s="23" t="str">
        <f t="shared" ca="1" si="15"/>
        <v>OPEN</v>
      </c>
      <c r="B61" s="37" t="s">
        <v>538</v>
      </c>
      <c r="C61" s="30" t="s">
        <v>536</v>
      </c>
      <c r="D61" s="30" t="s">
        <v>539</v>
      </c>
      <c r="E61" s="30" t="s">
        <v>540</v>
      </c>
      <c r="F61" s="30" t="s">
        <v>541</v>
      </c>
      <c r="G61" s="30" t="s">
        <v>542</v>
      </c>
      <c r="H61" s="30" t="s">
        <v>543</v>
      </c>
      <c r="I61" t="s">
        <v>544</v>
      </c>
      <c r="J61" s="30" t="s">
        <v>545</v>
      </c>
      <c r="K61" s="35" t="s">
        <v>546</v>
      </c>
      <c r="L61" s="30" t="s">
        <v>537</v>
      </c>
      <c r="M61" s="16" t="s">
        <v>358</v>
      </c>
      <c r="N61" s="16" t="s">
        <v>359</v>
      </c>
      <c r="O61" s="16" t="s">
        <v>427</v>
      </c>
      <c r="P61" s="33" t="str">
        <f t="shared" si="16"/>
        <v>New funding opportunity added: Heilbronn Research Fellowships 2027</v>
      </c>
      <c r="Q61" s="33" t="str">
        <f t="shared" si="17"/>
        <v>Hello,
A new funding opportunity has been added to the Funding Finder for Statistics.
**Heilbronn Research Fellowships 2027**
Funder: Heilbronn Institute for Mathematical Research (HIMR)
Deadline: 08/11/2026 23:59 GMT
Funding and duration: 3 years; salary approximately £46,874–£52,517 per year (London weighting where applicable)
Who can apply: Researchers in relevant mathematical sciences, including Statistics, probability and data science. Restricted to UK residents who are UK or dual UK nationals and eligible for national security clearance. Appointments at Bristol, Imperial, King's College London, UCL or Manchester.
Why it may be relevant to Statistics: Excellent postdoctoral career opportunity for eligible Statistics PhD graduates and ECRs, particularly those working in probability, statistical methodology, data science and mathematical research.
Themes: Statistics; Probability; Data science; ECR; Postdoctoral fellowship; Mathematical sciences
Official opportunity: https://heilbronn.ac.uk/fellowships/
Funding Finder: https://uofgstats.github.io/research-and-scholarship/
Please check the official funder page before preparing an application, as deadlines and eligibility requirements can change.
Best wishes,
Daniela &amp; Vinny
Research Lead for Statistics</v>
      </c>
      <c r="R61" s="27">
        <v>46311</v>
      </c>
    </row>
    <row r="62" spans="1:18">
      <c r="A62" s="23" t="str">
        <f t="shared" ca="1" si="15"/>
        <v>OPEN</v>
      </c>
      <c r="B62" t="s">
        <v>547</v>
      </c>
      <c r="C62" t="s">
        <v>536</v>
      </c>
      <c r="D62" t="s">
        <v>548</v>
      </c>
      <c r="E62" t="s">
        <v>549</v>
      </c>
      <c r="F62" t="s">
        <v>550</v>
      </c>
      <c r="G62" t="s">
        <v>551</v>
      </c>
      <c r="H62" t="s">
        <v>552</v>
      </c>
      <c r="I62" t="s">
        <v>553</v>
      </c>
      <c r="J62" t="s">
        <v>554</v>
      </c>
      <c r="K62" s="22" t="s">
        <v>555</v>
      </c>
      <c r="L62" t="s">
        <v>537</v>
      </c>
      <c r="M62" s="16" t="s">
        <v>358</v>
      </c>
      <c r="N62" s="16" t="s">
        <v>359</v>
      </c>
      <c r="O62" s="16" t="s">
        <v>427</v>
      </c>
      <c r="P62" s="33" t="str">
        <f t="shared" si="16"/>
        <v>New funding opportunity added: HIMR Small Grant Call</v>
      </c>
      <c r="Q62" s="33" t="str">
        <f t="shared" si="17"/>
        <v>Hello,
A new funding opportunity has been added to the Funding Finder for Statistics.
**HIMR Small Grant Call**
Funder: Heilbronn Institute for Mathematical Research (HIMR)
Deadline: Rolling – verify
Funding and duration: Typically up to £5,000; applications up to £10,000 or exceptionally more considered
Who can apply: Researchers proposing activities supporting UK mathematical research and the mathematical sciences community; confirm current applicant eligibility
Why it may be relevant to Statistics: Supports Statistics workshops, conferences, research networks, collaborative activities, visiting researchers and PhD student development
Themes: Statistics; Mathematical sciences; Workshops; Research collaboration; ECR; Training
Official opportunity: https://heilbronn.ac.uk/small-grants-call/
Funding Finder: https://uofgstats.github.io/research-and-scholarship/
Please check the official funder page before preparing an application, as deadlines and eligibility requirements can change.
Best wishes,
Daniela &amp; Vinny
Research Lead for Statistics</v>
      </c>
      <c r="R62" s="27">
        <v>46311</v>
      </c>
    </row>
    <row r="63" spans="1:18">
      <c r="A63" s="23" t="str">
        <f t="shared" ca="1" si="15"/>
        <v>FORTHCOMING</v>
      </c>
      <c r="B63" s="37" t="s">
        <v>500</v>
      </c>
      <c r="C63" s="30" t="s">
        <v>536</v>
      </c>
      <c r="D63" s="30" t="s">
        <v>556</v>
      </c>
      <c r="E63" s="30" t="s">
        <v>557</v>
      </c>
      <c r="F63" s="30" t="s">
        <v>558</v>
      </c>
      <c r="G63" s="30" t="s">
        <v>559</v>
      </c>
      <c r="H63" s="30" t="s">
        <v>560</v>
      </c>
      <c r="I63" s="30" t="s">
        <v>561</v>
      </c>
      <c r="J63" s="30" t="s">
        <v>562</v>
      </c>
      <c r="K63" s="36" t="s">
        <v>563</v>
      </c>
      <c r="L63" s="30" t="s">
        <v>537</v>
      </c>
      <c r="M63" s="16" t="s">
        <v>358</v>
      </c>
      <c r="N63" s="16" t="s">
        <v>360</v>
      </c>
      <c r="O63" s="16" t="s">
        <v>427</v>
      </c>
      <c r="P63" s="33" t="str">
        <f t="shared" si="16"/>
        <v>New funding opportunity added: HIMR Focused Research Grants</v>
      </c>
      <c r="Q63" s="33" t="str">
        <f t="shared" si="17"/>
        <v>Hello,
A new funding opportunity has been added to the Funding Finder for Statistics.
**HIMR Focused Research Grants**
Funder: Heilbronn Institute for Mathematical Research (HIMR)
Deadline: Next round TBC
Funding and duration: Project-dependent; current award limit not verified
Who can apply: Groups of researchers proposing focused mathematical research activities; confirm current eligibility
Why it may be relevant to Statistics: Could fund focused research meetings addressing open problems in statistical methodology, probability, extremes, spatial statistics or computational statistics
Themes: Statistics; Mathematical sciences; Focused research; Workshops; Collaboration
Official opportunity: https://heilbronn.ac.uk/frg/
Funding Finder: https://uofgstats.github.io/research-and-scholarship/
Please check the official funder page before preparing an application, as deadlines and eligibility requirements can change.
Best wishes,
Daniela &amp; Vinny
Research Lead for Statistics</v>
      </c>
      <c r="R63" s="27">
        <v>46311</v>
      </c>
    </row>
    <row r="64" spans="1:18" ht="30">
      <c r="A64" s="38" t="str">
        <f t="shared" ca="1" si="15"/>
        <v>ELIGIBILITY TO VERIFY</v>
      </c>
      <c r="B64" t="s">
        <v>564</v>
      </c>
      <c r="C64" t="s">
        <v>536</v>
      </c>
      <c r="D64" t="s">
        <v>565</v>
      </c>
      <c r="E64" t="s">
        <v>566</v>
      </c>
      <c r="F64" t="s">
        <v>567</v>
      </c>
      <c r="G64" t="s">
        <v>568</v>
      </c>
      <c r="H64" t="s">
        <v>569</v>
      </c>
      <c r="I64" t="s">
        <v>570</v>
      </c>
      <c r="J64" t="s">
        <v>571</v>
      </c>
      <c r="K64" s="22" t="s">
        <v>563</v>
      </c>
      <c r="L64" t="s">
        <v>537</v>
      </c>
      <c r="M64" s="16" t="s">
        <v>358</v>
      </c>
      <c r="N64" s="16" t="s">
        <v>572</v>
      </c>
      <c r="O64" s="16" t="s">
        <v>427</v>
      </c>
      <c r="P64" s="33" t="str">
        <f t="shared" si="16"/>
        <v>New funding opportunity added: HIMR International Visitors Scheme</v>
      </c>
      <c r="Q64" s="33" t="str">
        <f t="shared" si="17"/>
        <v>Hello,
A new funding opportunity has been added to the Funding Finder for Statistics.
**HIMR International Visitors Scheme**
Funder: Heilbronn Institute for Mathematical Research (HIMR)
Deadline: Not confirmed
Funding and duration: Financial support for eligible international research visits; amount and duration not verified
Who can apply: Scheme centred on leading international mathematicians with research interests shared by Heilbronn Fellows; confirm whether applications must be initiated by a Fellow
Why it may be relevant to Statistics: Potentially supports international collaboration in Statistics, probability and related mathematical sciences, particularly through partnerships with Heilbronn Fellows
Themes: Statistics; Mathematical sciences; International collaboration; Research visits; Networking
Official opportunity: https://heilbronn.ac.uk/frg/
Funding Finder: https://uofgstats.github.io/research-and-scholarship/
Please check the official funder page before preparing an application, as deadlines and eligibility requirements can change.
Best wishes,
Daniela &amp; Vinny
Research Lead for Statistics</v>
      </c>
      <c r="R64" s="27">
        <v>46311</v>
      </c>
    </row>
    <row r="65" spans="1:18" ht="30">
      <c r="A65" s="38" t="str">
        <f t="shared" ca="1" si="15"/>
        <v>DEADLINE PASSED</v>
      </c>
      <c r="B65" s="29">
        <v>46188</v>
      </c>
      <c r="C65" s="30" t="s">
        <v>573</v>
      </c>
      <c r="D65" s="30" t="s">
        <v>574</v>
      </c>
      <c r="E65" s="30" t="s">
        <v>575</v>
      </c>
      <c r="F65" s="30" t="s">
        <v>576</v>
      </c>
      <c r="G65" s="30" t="s">
        <v>577</v>
      </c>
      <c r="H65" s="30" t="s">
        <v>582</v>
      </c>
      <c r="I65" s="30" t="s">
        <v>584</v>
      </c>
      <c r="J65" s="30" t="s">
        <v>585</v>
      </c>
      <c r="K65" s="35" t="s">
        <v>586</v>
      </c>
      <c r="L65" s="30" t="s">
        <v>587</v>
      </c>
      <c r="M65" s="16" t="s">
        <v>358</v>
      </c>
      <c r="N65" s="16" t="s">
        <v>361</v>
      </c>
      <c r="O65" s="16" t="s">
        <v>588</v>
      </c>
      <c r="P65" s="33" t="str">
        <f t="shared" ref="P65:P66" si="18">IF(O65&lt;&gt;"Yes","","New funding opportunity added: "&amp;D65)</f>
        <v/>
      </c>
      <c r="Q65" s="33" t="str">
        <f t="shared" ref="Q65:Q66" si="19">IF(O65&lt;&gt;"Yes","","Hello,"&amp;CHAR(10)&amp;CHAR(10)&amp;"A new funding opportunity has been added to the Funding Finder for Statistics."&amp;CHAR(10)&amp;CHAR(10)&amp;"**"&amp;D65&amp;"**"&amp;CHAR(10)&amp;CHAR(10)&amp;"Funder: "&amp;C65&amp;CHAR(10)&amp;"Deadline: "&amp;IF(ISNUMBER(B65),TEXT(B65,"d mmmm yyyy"),B65)&amp;CHAR(10)&amp;"Funding and duration: "&amp;F65&amp;CHAR(10)&amp;CHAR(10)&amp;"Who can apply: "&amp;G65&amp;CHAR(10)&amp;CHAR(10)&amp;"Why it may be relevant to Statistics: "&amp;H65&amp;CHAR(10)&amp;CHAR(10)&amp;"Themes: "&amp;I65&amp;CHAR(10)&amp;CHAR(10)&amp;"Official opportunity: "&amp;K65&amp;CHAR(10)&amp;CHAR(10)&amp;"Funding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
      </c>
      <c r="R65" s="27">
        <v>46312</v>
      </c>
    </row>
    <row r="66" spans="1:18">
      <c r="A66" s="38" t="str">
        <f t="shared" ca="1" si="15"/>
        <v>OPEN</v>
      </c>
      <c r="B66" s="24" t="s">
        <v>547</v>
      </c>
      <c r="C66" t="s">
        <v>573</v>
      </c>
      <c r="D66" t="s">
        <v>578</v>
      </c>
      <c r="E66" t="s">
        <v>579</v>
      </c>
      <c r="F66" t="s">
        <v>580</v>
      </c>
      <c r="G66" t="s">
        <v>581</v>
      </c>
      <c r="H66" t="s">
        <v>583</v>
      </c>
      <c r="I66" t="s">
        <v>589</v>
      </c>
      <c r="J66" t="s">
        <v>590</v>
      </c>
      <c r="K66" s="22" t="s">
        <v>591</v>
      </c>
      <c r="L66" t="s">
        <v>587</v>
      </c>
      <c r="M66" s="16" t="s">
        <v>358</v>
      </c>
      <c r="N66" s="16" t="s">
        <v>359</v>
      </c>
      <c r="O66" s="16" t="s">
        <v>427</v>
      </c>
      <c r="P66" s="33" t="str">
        <f t="shared" si="18"/>
        <v>New funding opportunity added: SUM4Products Mini-grants</v>
      </c>
      <c r="Q66" s="33" t="str">
        <f t="shared" si="19"/>
        <v>Hello,
A new funding opportunity has been added to the Funding Finder for Statistics.
**SUM4Products Mini-grants**
Funder: EPSRC SUM4Products Network+
Deadline: Rolling – verify
Funding and duration: Normally up to £500; larger requests may be discussed
Who can apply: UK-based SUM4Products network members, generally with previous participation. PhD students eligible with supervisor support. UK travel only
Why it may be relevant to Statistics: Supports Statistics researchers and PhD students engaging with industry through workshops, conferences, site visits and collaborative activities
Themes: Industrial collaboration; Networking; Travel; Workshops; PhD; Knowledge exchange
Official opportunity: https://www.sum4products.co.uk/flexible-funding
Funding Finder: https://uofgstats.github.io/research-and-scholarship/
Please check the official funder page before preparing an application, as deadlines and eligibility requirements can change.
Best wishes,
Daniela &amp; Vinny
Research Lead for Statistics</v>
      </c>
      <c r="R66" s="27">
        <v>46318</v>
      </c>
    </row>
    <row r="67" spans="1:18">
      <c r="A67" s="38" t="str">
        <f t="shared" ca="1" si="15"/>
        <v>OPEN</v>
      </c>
      <c r="B67" s="29">
        <v>46392</v>
      </c>
      <c r="C67" s="30" t="s">
        <v>592</v>
      </c>
      <c r="D67" s="30" t="s">
        <v>593</v>
      </c>
      <c r="E67" s="30" t="s">
        <v>594</v>
      </c>
      <c r="F67" s="30" t="s">
        <v>595</v>
      </c>
      <c r="G67" s="30" t="s">
        <v>596</v>
      </c>
      <c r="H67" s="30" t="s">
        <v>597</v>
      </c>
      <c r="I67" s="30" t="s">
        <v>598</v>
      </c>
      <c r="J67" s="30" t="s">
        <v>599</v>
      </c>
      <c r="K67" s="35" t="s">
        <v>601</v>
      </c>
      <c r="L67" s="30" t="s">
        <v>600</v>
      </c>
      <c r="M67" s="16" t="s">
        <v>358</v>
      </c>
      <c r="N67" s="16" t="s">
        <v>359</v>
      </c>
      <c r="O67" s="16" t="s">
        <v>427</v>
      </c>
      <c r="P67" s="33" t="str">
        <f t="shared" ref="P67:P69" si="20">IF(O67&lt;&gt;"Yes","","New funding opportunity added: "&amp;D67)</f>
        <v>New funding opportunity added: Prob_AI Hub Workshop Fund</v>
      </c>
      <c r="Q67" s="33" t="str">
        <f t="shared" ref="Q67:Q69" si="21">IF(O67&lt;&gt;"Yes","","Hello,"&amp;CHAR(10)&amp;CHAR(10)&amp;"A new funding opportunity has been added to the Funding Finder for Statistics."&amp;CHAR(10)&amp;CHAR(10)&amp;"**"&amp;D67&amp;"**"&amp;CHAR(10)&amp;CHAR(10)&amp;"Funder: "&amp;C67&amp;CHAR(10)&amp;"Deadline: "&amp;IF(ISNUMBER(B67),TEXT(B67,"d mmmm yyyy"),B67)&amp;CHAR(10)&amp;"Funding and duration: "&amp;F67&amp;CHAR(10)&amp;CHAR(10)&amp;"Who can apply: "&amp;G67&amp;CHAR(10)&amp;CHAR(10)&amp;"Why it may be relevant to Statistics: "&amp;H67&amp;CHAR(10)&amp;CHAR(10)&amp;"Themes: "&amp;I67&amp;CHAR(10)&amp;CHAR(10)&amp;"Official opportunity: "&amp;K67&amp;CHAR(10)&amp;CHAR(10)&amp;"Funding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Hello,
A new funding opportunity has been added to the Funding Finder for Statistics.
**Prob_AI Hub Workshop Fund**
Funder: Prob_AI Hub
Deadline: 5 January 2027
Funding and duration: Up to £10,000 per project
Who can apply: Researchers proposing events that bring together mathematical, statistical and computer science communities underpinning probabilistic AI. Detailed eligibility to be confirmed
Why it may be relevant to Statistics: Supports workshops and collaborative activities involving statistical methodology, Bayesian inference, probabilistic modelling and AI, helping build interdisciplinary research partnerships
Themes: Statistics; Probabilistic AI; Bayesian methods; Machine learning; Workshops; Research collaboration
Official opportunity: https://www.probai.ac.uk/funding/
Funding Finder: https://uofgstats.github.io/research-and-scholarship/
Please check the official funder page before preparing an application, as deadlines and eligibility requirements can change.
Best wishes,
Daniela &amp; Vinny
Research Lead for Statistics</v>
      </c>
      <c r="R67" s="27">
        <v>46318</v>
      </c>
    </row>
    <row r="68" spans="1:18">
      <c r="A68" s="38" t="s">
        <v>360</v>
      </c>
      <c r="B68" s="40">
        <v>46358</v>
      </c>
      <c r="C68" t="s">
        <v>602</v>
      </c>
      <c r="D68" t="s">
        <v>603</v>
      </c>
      <c r="E68" t="s">
        <v>604</v>
      </c>
      <c r="F68" t="s">
        <v>605</v>
      </c>
      <c r="G68" t="s">
        <v>606</v>
      </c>
      <c r="H68" t="s">
        <v>607</v>
      </c>
      <c r="I68" t="s">
        <v>608</v>
      </c>
      <c r="J68" t="s">
        <v>609</v>
      </c>
      <c r="K68" t="s">
        <v>610</v>
      </c>
      <c r="L68" t="s">
        <v>611</v>
      </c>
      <c r="M68" s="16" t="s">
        <v>358</v>
      </c>
      <c r="N68" s="16" t="s">
        <v>360</v>
      </c>
      <c r="O68" s="16" t="s">
        <v>427</v>
      </c>
      <c r="P68" s="41" t="str">
        <f t="shared" si="20"/>
        <v>New funding opportunity added: CHAI Catalyst Competition</v>
      </c>
      <c r="Q68" s="41" t="str">
        <f t="shared" si="21"/>
        <v>Hello,
A new funding opportunity has been added to the Funding Finder for Statistics.
**CHAI Catalyst Competition**
Funder: CHAI (Causality in Healthcare AI Hub)
Deadline: 2 December 2026
Funding and duration: Three awards of £50,000
Who can apply: Early-stage healthcare AI innovations with potential for real-world impact; verify full applicant and partnership criteria
Why it may be relevant to Statistics: Relevant to statistical machine learning, causal inference, uncertainty quantification and translation of healthcare AI into practice.
Themes: Healthcare; AI/ML; Causal inference; Innovation; Impact
Official opportunity: https://www.chai.ac.uk/catalyst-competition
Funding Finder: https://uofgstats.github.io/research-and-scholarship/
Please check the official funder page before preparing an application, as deadlines and eligibility requirements can change.
Best wishes,
Daniela &amp; Vinny
Research Lead for Statistics</v>
      </c>
      <c r="R68" s="27" t="s">
        <v>428</v>
      </c>
    </row>
    <row r="69" spans="1:18" ht="30">
      <c r="A69" s="38" t="s">
        <v>572</v>
      </c>
      <c r="B69" s="42" t="s">
        <v>612</v>
      </c>
      <c r="C69" s="30" t="s">
        <v>613</v>
      </c>
      <c r="D69" s="30" t="s">
        <v>614</v>
      </c>
      <c r="E69" s="30" t="s">
        <v>615</v>
      </c>
      <c r="F69" s="30" t="s">
        <v>616</v>
      </c>
      <c r="G69" s="30" t="s">
        <v>617</v>
      </c>
      <c r="H69" s="30" t="s">
        <v>618</v>
      </c>
      <c r="I69" s="30" t="s">
        <v>619</v>
      </c>
      <c r="J69" s="30" t="s">
        <v>620</v>
      </c>
      <c r="K69" s="30" t="s">
        <v>621</v>
      </c>
      <c r="L69" s="30" t="s">
        <v>611</v>
      </c>
      <c r="M69" s="16" t="s">
        <v>535</v>
      </c>
      <c r="N69" s="16" t="s">
        <v>572</v>
      </c>
      <c r="O69" s="16" t="s">
        <v>588</v>
      </c>
      <c r="P69" s="41" t="str">
        <f t="shared" si="20"/>
        <v/>
      </c>
      <c r="Q69" s="41" t="str">
        <f t="shared" si="21"/>
        <v/>
      </c>
      <c r="R69" s="27" t="s">
        <v>428</v>
      </c>
    </row>
    <row r="70" spans="1:18">
      <c r="A70" s="38" t="s">
        <v>360</v>
      </c>
      <c r="B70" s="40" t="s">
        <v>622</v>
      </c>
      <c r="C70" t="s">
        <v>623</v>
      </c>
      <c r="D70" t="s">
        <v>624</v>
      </c>
      <c r="E70" t="s">
        <v>625</v>
      </c>
      <c r="F70" t="s">
        <v>626</v>
      </c>
      <c r="G70" t="s">
        <v>627</v>
      </c>
      <c r="H70" t="s">
        <v>628</v>
      </c>
      <c r="I70" t="s">
        <v>629</v>
      </c>
      <c r="J70" t="s">
        <v>630</v>
      </c>
      <c r="K70" t="s">
        <v>631</v>
      </c>
      <c r="L70" t="s">
        <v>611</v>
      </c>
      <c r="M70" s="16" t="s">
        <v>358</v>
      </c>
      <c r="N70" s="16" t="s">
        <v>360</v>
      </c>
      <c r="O70" s="16" t="s">
        <v>588</v>
      </c>
      <c r="P70" s="43" t="str">
        <f>IF(O70&lt;&gt;"Yes","","New funding opportunity added: "&amp;D70)</f>
        <v/>
      </c>
      <c r="Q70" s="43" t="str">
        <f>IF(O70&lt;&gt;"Yes","","Hello,"&amp;CHAR(10)&amp;CHAR(10)&amp;"A new funding opportunity has been added to the Funding Finder for Statistics."&amp;CHAR(10)&amp;CHAR(10)&amp;"**"&amp;D70&amp;"**"&amp;CHAR(10)&amp;CHAR(10)&amp;"Funder: "&amp;C70&amp;CHAR(10)&amp;"Deadline: "&amp;IF(ISNUMBER(B70),TEXT(B70,"d mmmm yyyy"),B70)&amp;CHAR(10)&amp;"Funding and duration: "&amp;F70&amp;CHAR(10)&amp;CHAR(10)&amp;"Who can apply: "&amp;G70&amp;CHAR(10)&amp;CHAR(10)&amp;"Why it may be relevant to Statistics: "&amp;H70&amp;CHAR(10)&amp;CHAR(10)&amp;"Themes: "&amp;I70&amp;CHAR(10)&amp;CHAR(10)&amp;"Official opportunity: "&amp;K70&amp;CHAR(10)&amp;CHAR(10)&amp;"Funding Finder: "&amp;"https://uofgstats.github.io/research-and-scholarship/"&amp;CHAR(10)&amp;CHAR(10)&amp;"Please check the official funder page before preparing an application, as deadlines and eligibility requirements can change."&amp;CHAR(10)&amp;CHAR(10)&amp;"Best wishes,"&amp;CHAR(10)&amp;"Daniela &amp; Vinny"&amp;CHAR(10)&amp;"Research Lead for Statistics")</f>
        <v/>
      </c>
      <c r="R70" s="27" t="s">
        <v>428</v>
      </c>
    </row>
    <row r="71" spans="1:18">
      <c r="A71" s="38" t="s">
        <v>360</v>
      </c>
      <c r="B71" s="44">
        <v>46336</v>
      </c>
      <c r="C71" s="30" t="s">
        <v>632</v>
      </c>
      <c r="D71" s="30" t="s">
        <v>633</v>
      </c>
      <c r="E71" s="30" t="s">
        <v>634</v>
      </c>
      <c r="F71" s="30" t="s">
        <v>635</v>
      </c>
      <c r="G71" s="30" t="s">
        <v>636</v>
      </c>
      <c r="H71" s="30" t="s">
        <v>637</v>
      </c>
      <c r="I71" s="30" t="s">
        <v>638</v>
      </c>
      <c r="J71" s="30" t="s">
        <v>639</v>
      </c>
      <c r="K71" s="30" t="s">
        <v>640</v>
      </c>
      <c r="L71" s="30" t="s">
        <v>641</v>
      </c>
      <c r="M71" s="16" t="s">
        <v>358</v>
      </c>
      <c r="N71" s="16" t="s">
        <v>359</v>
      </c>
      <c r="O71" s="16" t="s">
        <v>427</v>
      </c>
      <c r="P71" s="43" t="s">
        <v>642</v>
      </c>
      <c r="Q71" s="43" t="s">
        <v>643</v>
      </c>
      <c r="R71" s="27">
        <v>46318</v>
      </c>
    </row>
    <row r="72" spans="1:18">
      <c r="A72" s="38" t="s">
        <v>360</v>
      </c>
      <c r="B72" s="45">
        <v>46336</v>
      </c>
      <c r="C72" t="s">
        <v>644</v>
      </c>
      <c r="D72" t="s">
        <v>645</v>
      </c>
      <c r="E72" t="s">
        <v>634</v>
      </c>
      <c r="F72" t="s">
        <v>635</v>
      </c>
      <c r="G72" t="s">
        <v>646</v>
      </c>
      <c r="H72" t="s">
        <v>647</v>
      </c>
      <c r="I72" t="s">
        <v>648</v>
      </c>
      <c r="J72" t="s">
        <v>649</v>
      </c>
      <c r="K72" t="s">
        <v>650</v>
      </c>
      <c r="L72" t="s">
        <v>641</v>
      </c>
      <c r="M72" s="16" t="s">
        <v>358</v>
      </c>
      <c r="N72" s="16" t="s">
        <v>359</v>
      </c>
      <c r="O72" s="16" t="s">
        <v>427</v>
      </c>
      <c r="P72" s="43" t="s">
        <v>651</v>
      </c>
      <c r="Q72" s="43" t="s">
        <v>652</v>
      </c>
      <c r="R72" s="27">
        <v>46318</v>
      </c>
    </row>
    <row r="73" spans="1:18">
      <c r="A73" s="38" t="s">
        <v>360</v>
      </c>
      <c r="B73" s="44">
        <v>46328</v>
      </c>
      <c r="C73" s="30" t="s">
        <v>653</v>
      </c>
      <c r="D73" s="30" t="s">
        <v>654</v>
      </c>
      <c r="E73" s="30" t="s">
        <v>655</v>
      </c>
      <c r="F73" s="30" t="s">
        <v>656</v>
      </c>
      <c r="G73" s="30" t="s">
        <v>657</v>
      </c>
      <c r="H73" s="30" t="s">
        <v>658</v>
      </c>
      <c r="I73" s="30" t="s">
        <v>659</v>
      </c>
      <c r="J73" s="30" t="s">
        <v>660</v>
      </c>
      <c r="K73" s="30" t="s">
        <v>661</v>
      </c>
      <c r="L73" s="30" t="s">
        <v>641</v>
      </c>
      <c r="M73" s="16" t="s">
        <v>358</v>
      </c>
      <c r="N73" s="16" t="s">
        <v>359</v>
      </c>
      <c r="O73" s="16" t="s">
        <v>427</v>
      </c>
      <c r="P73" s="43" t="s">
        <v>662</v>
      </c>
      <c r="Q73" s="43" t="s">
        <v>663</v>
      </c>
      <c r="R73" s="27">
        <v>46318</v>
      </c>
    </row>
  </sheetData>
  <conditionalFormatting sqref="A2:A55">
    <cfRule type="expression" dxfId="23" priority="21">
      <formula>$A2="OPEN"</formula>
    </cfRule>
    <cfRule type="expression" dxfId="22" priority="22">
      <formula>$A2="FORTHCOMING"</formula>
    </cfRule>
    <cfRule type="expression" dxfId="21" priority="23">
      <formula>LEFT($A2,6)="CLOSED"</formula>
    </cfRule>
    <cfRule type="expression" dxfId="20" priority="24">
      <formula>$A2="DEADLINE PASSED"</formula>
    </cfRule>
  </conditionalFormatting>
  <conditionalFormatting sqref="A56">
    <cfRule type="expression" dxfId="19" priority="13">
      <formula>$A56="OPEN"</formula>
    </cfRule>
    <cfRule type="expression" dxfId="18" priority="14">
      <formula>$A56="FORTHCOMING"</formula>
    </cfRule>
    <cfRule type="expression" dxfId="17" priority="15">
      <formula>LEFT($A56,6)="CLOSED"</formula>
    </cfRule>
    <cfRule type="expression" dxfId="16" priority="16">
      <formula>$A56="DEADLINE PASSED"</formula>
    </cfRule>
  </conditionalFormatting>
  <conditionalFormatting sqref="A56:A67">
    <cfRule type="expression" dxfId="15" priority="17">
      <formula>$A56="OPEN"</formula>
    </cfRule>
    <cfRule type="expression" dxfId="14" priority="18">
      <formula>$A56="FORTHCOMING"</formula>
    </cfRule>
    <cfRule type="expression" dxfId="13" priority="19">
      <formula>LEFT($A56,6)="CLOSED"</formula>
    </cfRule>
    <cfRule type="expression" dxfId="12" priority="20">
      <formula>$A56="DEADLINE PASSED"</formula>
    </cfRule>
  </conditionalFormatting>
  <conditionalFormatting sqref="A58:A67">
    <cfRule type="expression" dxfId="11" priority="9">
      <formula>$A58="OPEN"</formula>
    </cfRule>
    <cfRule type="expression" dxfId="10" priority="10">
      <formula>$A58="FORTHCOMING"</formula>
    </cfRule>
    <cfRule type="expression" dxfId="9" priority="11">
      <formula>LEFT($A58,6)="CLOSED"</formula>
    </cfRule>
    <cfRule type="expression" dxfId="8" priority="12">
      <formula>$A58="DEADLINE PASSED"</formula>
    </cfRule>
  </conditionalFormatting>
  <conditionalFormatting sqref="A68:A73">
    <cfRule type="expression" dxfId="7" priority="5">
      <formula>$A68="OPEN"</formula>
    </cfRule>
    <cfRule type="expression" dxfId="6" priority="6">
      <formula>$A68="FORTHCOMING"</formula>
    </cfRule>
    <cfRule type="expression" dxfId="5" priority="7">
      <formula>LEFT($A68,6)="CLOSED"</formula>
    </cfRule>
    <cfRule type="expression" dxfId="4" priority="8">
      <formula>$A68="DEADLINE PASSED"</formula>
    </cfRule>
  </conditionalFormatting>
  <conditionalFormatting sqref="A68:A73">
    <cfRule type="expression" dxfId="3" priority="1">
      <formula>$A68="OPEN"</formula>
    </cfRule>
    <cfRule type="expression" dxfId="2" priority="2">
      <formula>$A68="FORTHCOMING"</formula>
    </cfRule>
    <cfRule type="expression" dxfId="1" priority="3">
      <formula>LEFT($A68,6)="CLOSED"</formula>
    </cfRule>
    <cfRule type="expression" dxfId="0" priority="4">
      <formula>$A68="DEADLINE PASSED"</formula>
    </cfRule>
  </conditionalFormatting>
  <dataValidations count="3">
    <dataValidation type="list" sqref="M2:M499" xr:uid="{00000000-0002-0000-0000-000000000000}">
      <formula1>"Research,Scholarship,Research and Scholarship"</formula1>
    </dataValidation>
    <dataValidation type="list" sqref="N2:N499" xr:uid="{00000000-0002-0000-0000-000001000000}">
      <formula1>"OPEN,FORTHCOMING,CLOSED – monitor recurrence,CLOSED – invited stage continues"</formula1>
    </dataValidation>
    <dataValidation type="list" sqref="O2:O499" xr:uid="{00000000-0002-0000-0000-000002000000}">
      <formula1>"Yes,No,Added at launch – no notification"</formula1>
    </dataValidation>
  </dataValidations>
  <hyperlinks>
    <hyperlink ref="K49" r:id="rId1" xr:uid="{983CD2BB-548A-CA46-B886-1D5A7F03FD6A}"/>
    <hyperlink ref="K51" r:id="rId2" xr:uid="{CEDBB7D3-D861-6348-9912-50FD352C627E}"/>
    <hyperlink ref="K52" r:id="rId3" xr:uid="{5E871FF8-6856-3F46-A97A-BF5C75823330}"/>
    <hyperlink ref="K53" r:id="rId4" xr:uid="{03C79587-5FB8-6E4D-800F-90A27A753D0A}"/>
    <hyperlink ref="K54" r:id="rId5" xr:uid="{51B5FE9E-0AEA-6A40-8FC5-EEEC2082F053}"/>
    <hyperlink ref="L55" r:id="rId6" xr:uid="{716C5825-E552-FD4C-B304-7A428DE7BA28}"/>
    <hyperlink ref="K61" r:id="rId7" xr:uid="{652B89D9-F013-3647-A57E-C9181DE98F89}"/>
    <hyperlink ref="K62" r:id="rId8" xr:uid="{828E7974-7FE4-B743-921D-CEA7059FBF02}"/>
    <hyperlink ref="K63" r:id="rId9" xr:uid="{64FA85FA-F436-B948-84F7-5A169FE28AB7}"/>
    <hyperlink ref="K64" r:id="rId10" xr:uid="{F3897D68-577A-E445-A0CE-FD72FB6CD5B0}"/>
    <hyperlink ref="K65" r:id="rId11" xr:uid="{BD58BDFB-0A94-2C43-BEA0-EC774FDC507F}"/>
    <hyperlink ref="K66" r:id="rId12" xr:uid="{7F0AF101-1D7E-8F4A-8989-A7B5F9F1B410}"/>
    <hyperlink ref="K67" r:id="rId13" xr:uid="{7277ADC0-C524-E34D-ACAF-F4072A53A578}"/>
  </hyperlinks>
  <pageMargins left="0.7" right="0.7" top="0.75" bottom="0.75" header="0.3" footer="0.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heetViews>
  <sheetFormatPr baseColWidth="10" defaultColWidth="8.83203125" defaultRowHeight="15"/>
  <cols>
    <col min="1" max="1" width="24" customWidth="1"/>
    <col min="2" max="2" width="88" customWidth="1"/>
  </cols>
  <sheetData>
    <row r="1" spans="1:2" ht="21">
      <c r="A1" s="39" t="s">
        <v>323</v>
      </c>
      <c r="B1" s="39"/>
    </row>
    <row r="2" spans="1:2" ht="32">
      <c r="A2" s="4" t="s">
        <v>324</v>
      </c>
      <c r="B2" s="2" t="s">
        <v>325</v>
      </c>
    </row>
    <row r="3" spans="1:2" ht="16">
      <c r="A3" s="4" t="s">
        <v>326</v>
      </c>
      <c r="B3" s="2" t="s">
        <v>424</v>
      </c>
    </row>
    <row r="4" spans="1:2" ht="48">
      <c r="A4" s="4" t="s">
        <v>327</v>
      </c>
      <c r="B4" s="2" t="s">
        <v>328</v>
      </c>
    </row>
    <row r="5" spans="1:2" ht="48">
      <c r="A5" s="4" t="s">
        <v>329</v>
      </c>
      <c r="B5" s="2" t="s">
        <v>330</v>
      </c>
    </row>
    <row r="6" spans="1:2" ht="32">
      <c r="A6" s="4" t="s">
        <v>331</v>
      </c>
      <c r="B6" s="2" t="s">
        <v>332</v>
      </c>
    </row>
    <row r="7" spans="1:2" ht="32">
      <c r="A7" s="4" t="s">
        <v>333</v>
      </c>
      <c r="B7" s="2" t="s">
        <v>334</v>
      </c>
    </row>
    <row r="8" spans="1:2" ht="16">
      <c r="A8" s="4" t="s">
        <v>335</v>
      </c>
      <c r="B8" s="2" t="s">
        <v>336</v>
      </c>
    </row>
    <row r="9" spans="1:2" ht="16">
      <c r="A9" s="4" t="s">
        <v>335</v>
      </c>
      <c r="B9" s="2" t="s">
        <v>337</v>
      </c>
    </row>
    <row r="10" spans="1:2" ht="16">
      <c r="A10" s="4" t="s">
        <v>335</v>
      </c>
      <c r="B10" s="2" t="s">
        <v>214</v>
      </c>
    </row>
    <row r="11" spans="1:2" ht="16">
      <c r="A11" s="4" t="s">
        <v>335</v>
      </c>
      <c r="B11" s="2" t="s">
        <v>338</v>
      </c>
    </row>
    <row r="12" spans="1:2" ht="16">
      <c r="A12" s="4" t="s">
        <v>335</v>
      </c>
      <c r="B12" s="2" t="s">
        <v>339</v>
      </c>
    </row>
    <row r="13" spans="1:2" ht="16">
      <c r="A13" s="4" t="s">
        <v>335</v>
      </c>
      <c r="B13" s="2" t="s">
        <v>340</v>
      </c>
    </row>
    <row r="14" spans="1:2" ht="16">
      <c r="A14" s="4" t="s">
        <v>335</v>
      </c>
      <c r="B14" s="2" t="s">
        <v>135</v>
      </c>
    </row>
    <row r="15" spans="1:2" ht="16">
      <c r="A15" s="4" t="s">
        <v>335</v>
      </c>
      <c r="B15" s="2" t="s">
        <v>341</v>
      </c>
    </row>
    <row r="16" spans="1:2" ht="16">
      <c r="A16" s="4" t="s">
        <v>335</v>
      </c>
      <c r="B16" s="2" t="s">
        <v>315</v>
      </c>
    </row>
    <row r="17" spans="1:2" ht="16">
      <c r="A17" s="4" t="s">
        <v>335</v>
      </c>
      <c r="B17" s="2" t="s">
        <v>116</v>
      </c>
    </row>
    <row r="18" spans="1:2" ht="16">
      <c r="A18" s="4" t="s">
        <v>335</v>
      </c>
      <c r="B18" s="2" t="s">
        <v>143</v>
      </c>
    </row>
    <row r="19" spans="1:2" ht="48">
      <c r="A19" s="4" t="s">
        <v>342</v>
      </c>
      <c r="B19" s="2" t="s">
        <v>343</v>
      </c>
    </row>
    <row r="20" spans="1:2" ht="45">
      <c r="A20" s="15" t="s">
        <v>353</v>
      </c>
      <c r="B20" s="5" t="s">
        <v>425</v>
      </c>
    </row>
    <row r="21" spans="1:2" ht="57" customHeight="1">
      <c r="A21" s="6" t="s">
        <v>344</v>
      </c>
      <c r="B21" s="6" t="s">
        <v>345</v>
      </c>
    </row>
    <row r="22" spans="1:2" ht="30">
      <c r="A22" s="7" t="s">
        <v>346</v>
      </c>
      <c r="B22" s="5" t="s">
        <v>426</v>
      </c>
    </row>
    <row r="23" spans="1:2">
      <c r="A23" s="7" t="s">
        <v>347</v>
      </c>
      <c r="B23" s="5" t="s">
        <v>348</v>
      </c>
    </row>
    <row r="24" spans="1:2" ht="30">
      <c r="A24" s="7" t="s">
        <v>349</v>
      </c>
      <c r="B24" s="5" t="s">
        <v>350</v>
      </c>
    </row>
    <row r="25" spans="1:2">
      <c r="A25" s="7" t="s">
        <v>351</v>
      </c>
      <c r="B25" s="5" t="s">
        <v>352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Funding opportunities</vt:lpstr>
      <vt:lpstr>Guide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Daniela Castro-Camilo</cp:lastModifiedBy>
  <dcterms:modified xsi:type="dcterms:W3CDTF">2026-10-23T09:37:46Z</dcterms:modified>
</cp:coreProperties>
</file>