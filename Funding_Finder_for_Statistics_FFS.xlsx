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danielacastrocamilo/Dropbox/Glasgow/Admin/ResearchLead4Statistics/research-and-scholarship/"/>
    </mc:Choice>
  </mc:AlternateContent>
  <xr:revisionPtr revIDLastSave="0" documentId="13_ncr:1_{063A9612-AC22-1E4D-ADD7-0732ED13EA68}" xr6:coauthVersionLast="47" xr6:coauthVersionMax="47" xr10:uidLastSave="{00000000-0000-0000-0000-000000000000}"/>
  <bookViews>
    <workbookView xWindow="34400" yWindow="600" windowWidth="34400" windowHeight="28200" xr2:uid="{00000000-000D-0000-FFFF-FFFF00000000}"/>
  </bookViews>
  <sheets>
    <sheet name="Funding opportunities" sheetId="1" r:id="rId1"/>
    <sheet name="Guide &amp; sourc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" l="1"/>
  <c r="Q51" i="1"/>
  <c r="P51" i="1"/>
  <c r="A50" i="1"/>
  <c r="Q50" i="1"/>
  <c r="P50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2" i="1"/>
  <c r="P49" i="1"/>
  <c r="A49" i="1"/>
  <c r="P48" i="1"/>
  <c r="A48" i="1"/>
  <c r="P47" i="1"/>
  <c r="A47" i="1"/>
  <c r="P46" i="1"/>
  <c r="A46" i="1"/>
  <c r="P45" i="1"/>
  <c r="A45" i="1"/>
  <c r="P44" i="1"/>
  <c r="A44" i="1"/>
  <c r="P43" i="1"/>
  <c r="A43" i="1"/>
  <c r="A42" i="1"/>
  <c r="A41" i="1"/>
  <c r="A40" i="1"/>
  <c r="A39" i="1"/>
  <c r="A38" i="1"/>
  <c r="A37" i="1"/>
  <c r="A36" i="1"/>
  <c r="A35" i="1"/>
  <c r="A34" i="1"/>
  <c r="A33" i="1"/>
  <c r="A32" i="1"/>
  <c r="P31" i="1"/>
  <c r="A31" i="1"/>
  <c r="A30" i="1"/>
  <c r="A29" i="1"/>
  <c r="A28" i="1"/>
  <c r="A27" i="1"/>
  <c r="A26" i="1"/>
  <c r="P25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P42" i="1" l="1"/>
  <c r="P41" i="1"/>
  <c r="P40" i="1"/>
  <c r="P39" i="1"/>
  <c r="P38" i="1"/>
  <c r="P37" i="1"/>
  <c r="P36" i="1"/>
  <c r="P35" i="1"/>
  <c r="P34" i="1"/>
  <c r="P33" i="1"/>
  <c r="P32" i="1"/>
  <c r="P30" i="1"/>
  <c r="P29" i="1"/>
  <c r="P28" i="1"/>
  <c r="P27" i="1"/>
  <c r="P26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<sst xmlns="http://schemas.openxmlformats.org/spreadsheetml/2006/main" count="786" uniqueCount="457">
  <si>
    <t>Status</t>
  </si>
  <si>
    <t>Deadline</t>
  </si>
  <si>
    <t>Funder</t>
  </si>
  <si>
    <t>Opportunity</t>
  </si>
  <si>
    <t>Type</t>
  </si>
  <si>
    <t>Funding / duration</t>
  </si>
  <si>
    <t>Who can apply / key restriction</t>
  </si>
  <si>
    <t>Why relevant to Statistics</t>
  </si>
  <si>
    <t>Theme tags</t>
  </si>
  <si>
    <t>Internal action / note</t>
  </si>
  <si>
    <t>Source</t>
  </si>
  <si>
    <t>Source list</t>
  </si>
  <si>
    <t>LMS</t>
  </si>
  <si>
    <t>Scheme 3: Joint Research Groups</t>
  </si>
  <si>
    <t>Network / collaboration</t>
  </si>
  <si>
    <t>Up to £2,400 per academic year</t>
  </si>
  <si>
    <t>UK-based mathematicians; annual scheme</t>
  </si>
  <si>
    <t>Supports sustained mathematical research groups and collaborations.</t>
  </si>
  <si>
    <t>Mathematics; collaboration</t>
  </si>
  <si>
    <t>Very relevant recurring LMS scheme.</t>
  </si>
  <si>
    <t>https://www.lms.ac.uk/grants/calendar</t>
  </si>
  <si>
    <t>ARIA</t>
  </si>
  <si>
    <t>Hypersensory Intelligence: Olfactory Perception – TA1 Open Olfactory Resource</t>
  </si>
  <si>
    <t>Research programme</t>
  </si>
  <si>
    <t>Programme backed by £65m; TA1 call</t>
  </si>
  <si>
    <t>See ARIA call; interdisciplinary teams</t>
  </si>
  <si>
    <t>Potential role for statistics/ML in large-scale chemical-signal data, representation learning and uncertainty.</t>
  </si>
  <si>
    <t>AI/ML; data; health; environment</t>
  </si>
  <si>
    <t>Targeted rather than general Stats opportunity.</t>
  </si>
  <si>
    <t>https://aria.org.uk/opportunity-spaces/nature-inspired-computation/olfactory-perception</t>
  </si>
  <si>
    <t>LMS / HIMR / UKRI</t>
  </si>
  <si>
    <t>LMS Early Career Fellowships</t>
  </si>
  <si>
    <t>Fellowship</t>
  </si>
  <si>
    <t>3–6 months; £1,820/month + £800 allowance; up to £11,720</t>
  </si>
  <si>
    <t>Recent/near-completion PhD mathematicians; UK resident at deadline</t>
  </si>
  <si>
    <t>Excellent bridge funding for graduating Stats PhDs moving to postdoctoral research.</t>
  </si>
  <si>
    <t>ECR; mathematics; fellowship</t>
  </si>
  <si>
    <t>Flag to PGRs and supervisors.</t>
  </si>
  <si>
    <t>https://www.lms.ac.uk/grants/lms-early-career-fellowships</t>
  </si>
  <si>
    <t>Forecasting Tipping Points Phase 2</t>
  </si>
  <si>
    <t>ARIA programme backed by £114m; concept paper then invited full proposal</t>
  </si>
  <si>
    <t>Teams contributing to ocean observing, interannual-to-decadal forecasting or decision-focused climate evidence translation</t>
  </si>
  <si>
    <t>Exceptionally strong fit for environmental statistics, extremes, forecasting, uncertainty quantification, data fusion and AI.</t>
  </si>
  <si>
    <t>Environment; extremes; forecasting; AI</t>
  </si>
  <si>
    <t>Concept paper 9 Oct 14:00 BST; full proposals 2 Dec 14:00 GMT. Very high relevance to group.</t>
  </si>
  <si>
    <t>https://aria.org.uk/opportunity-spaces/resilient-climate-and-ecosystems/forecasting-tipping-points/funding</t>
  </si>
  <si>
    <t>Postgraduate Research Conference Grants (Scheme 8)</t>
  </si>
  <si>
    <t>Conference / ECR</t>
  </si>
  <si>
    <t>Up to £2,500</t>
  </si>
  <si>
    <t>For postgraduate-led research conferences; see LMS eligibility</t>
  </si>
  <si>
    <t>Useful for Statistics PGRs organising specialist meetings.</t>
  </si>
  <si>
    <t>PGR; mathematics; events</t>
  </si>
  <si>
    <t>Also recurring deadline 22 Feb 2027.</t>
  </si>
  <si>
    <t>Celebrating New Appointments (Scheme 9)</t>
  </si>
  <si>
    <t>ECR / event</t>
  </si>
  <si>
    <t>Up to £450–£500</t>
  </si>
  <si>
    <t>Newly appointed mathematicians; see LMS scheme</t>
  </si>
  <si>
    <t>Small, easy-to-use support for new Statistics appointments and research activity.</t>
  </si>
  <si>
    <t>ECR; mathematics</t>
  </si>
  <si>
    <t>Early Career Researcher Travel Grants</t>
  </si>
  <si>
    <t>Travel / collaboration</t>
  </si>
  <si>
    <t>Up to £700</t>
  </si>
  <si>
    <t>UK-based mathematics ECRs: PhD students or within 3 years of PhD (career breaks excluded)</t>
  </si>
  <si>
    <t>Conference travel and research visits for Stats PGRs/ECRs.</t>
  </si>
  <si>
    <t>ECR; travel; mathematics</t>
  </si>
  <si>
    <t>Priority is often given to research visits combined with conference attendance; next deadline 22 Feb 2027.</t>
  </si>
  <si>
    <t>https://www.lms.ac.uk/grants/lms-travel-grants-early-career-researchers</t>
  </si>
  <si>
    <t>RSE</t>
  </si>
  <si>
    <t>Personal Research Fellowships</t>
  </si>
  <si>
    <t>Fellowship / research leave</t>
  </si>
  <si>
    <t>Temporary replacement salary + research costs; up to 12 months</t>
  </si>
  <si>
    <t>Eligible academics in Scottish institutions; research may be in any discipline</t>
  </si>
  <si>
    <t>Directly relevant to Statistics staff seeking protected research time.</t>
  </si>
  <si>
    <t>All disciplines; fellowship</t>
  </si>
  <si>
    <t>Autumn 2026 call. Includes ESS-RSE themed route on Scotland's Biodiversity Pathways.</t>
  </si>
  <si>
    <t>https://rse.org.uk/award/rse-personal-research-fellowships/</t>
  </si>
  <si>
    <t>Research Collaboration Grants</t>
  </si>
  <si>
    <t>Collaboration / network</t>
  </si>
  <si>
    <t>Up to 24 months; see current terms for award value</t>
  </si>
  <si>
    <t>PI in eligible Scottish HEI/FEI/RI/cultural institution; all disciplines/career stages</t>
  </si>
  <si>
    <t>Good fit for interdisciplinary statistical collaborations and building new research networks.</t>
  </si>
  <si>
    <t>All disciplines; collaboration</t>
  </si>
  <si>
    <t>Only one RSE proposal per applicant per funding round; choose best-suited scheme.</t>
  </si>
  <si>
    <t>https://rse.org.uk/award/rse-research-collaboration-grants/</t>
  </si>
  <si>
    <t>Small Research Grants</t>
  </si>
  <si>
    <t>Research grant</t>
  </si>
  <si>
    <t>Up to 12 months; see current terms for award value</t>
  </si>
  <si>
    <t>Eligible Scotland-based researchers; any discipline</t>
  </si>
  <si>
    <t>Useful seed funding for methodological/statistical pilot work and preliminary results.</t>
  </si>
  <si>
    <t>All disciplines; seed</t>
  </si>
  <si>
    <t>Only one RSE proposal per applicant per funding round.</t>
  </si>
  <si>
    <t>https://rse.org.uk/award/rse-small-grants/</t>
  </si>
  <si>
    <t>International Joint Projects</t>
  </si>
  <si>
    <t>International collaboration</t>
  </si>
  <si>
    <t>Up to 2 years; scheme-dependent funding</t>
  </si>
  <si>
    <t>Scotland-based researcher + eligible overseas partner under current partner-academy streams</t>
  </si>
  <si>
    <t>Strong route for building international statistical collaborations.</t>
  </si>
  <si>
    <t>International; collaboration</t>
  </si>
  <si>
    <t>Requires corresponding application to partner academy where applicable.</t>
  </si>
  <si>
    <t>https://rse.org.uk/award/rse-joint-projects/</t>
  </si>
  <si>
    <t>International Bilateral Visits</t>
  </si>
  <si>
    <t>International visit</t>
  </si>
  <si>
    <t>Short-term visits; see country-specific terms</t>
  </si>
  <si>
    <t>Scotland-based researchers collaborating with eligible academy countries</t>
  </si>
  <si>
    <t>Useful for short collaborative visits and developing international grant pipelines.</t>
  </si>
  <si>
    <t>International; travel</t>
  </si>
  <si>
    <t>Autumn 2026 partners include Hungary, Taiwan, Poland, Slovakia and Slovenia.</t>
  </si>
  <si>
    <t>https://rse.org.uk/award/international-bilateral-visits/</t>
  </si>
  <si>
    <t>SAPHIRE Fund</t>
  </si>
  <si>
    <t>£5,000–£19,999 band; see current terms</t>
  </si>
  <si>
    <t>Scottish researchers with partners in eligible Asia-Pacific countries; theme: Climate Change, Biodiversity and Renewable Energy</t>
  </si>
  <si>
    <t>Strong fit for environmental, ecological, climate and renewable-energy statistics.</t>
  </si>
  <si>
    <t>Environment; international; energy</t>
  </si>
  <si>
    <t>Requires relevant existing peer-reviewed project/funding or track record as specified.</t>
  </si>
  <si>
    <t>https://rse.org.uk/award/scotland-asia-partnerships-higher-education-research-fund-saphire/</t>
  </si>
  <si>
    <t>Innovate UK / OLS</t>
  </si>
  <si>
    <t>Advancing innovation in accelerated cancer diagnosis</t>
  </si>
  <si>
    <t>Collaborative innovation</t>
  </si>
  <si>
    <t>Total fund £25.4m</t>
  </si>
  <si>
    <t>Collaboration only; lead may be academic/NHS/business; consortium must include a UK SME claiming funding</t>
  </si>
  <si>
    <t>Relevant where Stats contributes AI, diagnostic modelling, validation, prediction or trial/evaluation methodology.</t>
  </si>
  <si>
    <t>Health; AI/ML; diagnostics</t>
  </si>
  <si>
    <t>Targeted collaboration opportunity, not a general statistics call.</t>
  </si>
  <si>
    <t>https://www.ukri.org/opportunity/advancing-innovation-in-accelerated-cancer-diagnosis/</t>
  </si>
  <si>
    <t>Specific call</t>
  </si>
  <si>
    <t>RSE / Fulbright</t>
  </si>
  <si>
    <t>RSE Fulbright Scholar Award</t>
  </si>
  <si>
    <t>International fellowship / visit</t>
  </si>
  <si>
    <t>Up to 3 months in US</t>
  </si>
  <si>
    <t>UK resident with clear continuing Scotland connection; PhD/equivalent</t>
  </si>
  <si>
    <t>Potentially valuable for established Statistics academics developing US collaborations.</t>
  </si>
  <si>
    <t>International; fellowship</t>
  </si>
  <si>
    <t>2026 themes include climate/environment, economic prosperity, social cohesion/inclusion.</t>
  </si>
  <si>
    <t>https://rse.org.uk/award/fulbright-rse-scholar-award/</t>
  </si>
  <si>
    <t>UKRI</t>
  </si>
  <si>
    <t>Transformative sustainable AI technologies</t>
  </si>
  <si>
    <t>FEC up to £602,500; UKRI funds 80%; up to 24 months</t>
  </si>
  <si>
    <t>UKRI-eligible UK research organisation</t>
  </si>
  <si>
    <t>Strong for Stats/ML work on computationally efficient, sustainable or otherwise lower-impact AI systems.</t>
  </si>
  <si>
    <t>AI/ML; sustainability</t>
  </si>
  <si>
    <t>NOTE: UofG note of interest required — see email sent 26/08.</t>
  </si>
  <si>
    <t>https://www.ukri.org/opportunity/transformative-sustainable-ai-technologies/</t>
  </si>
  <si>
    <t>NERC</t>
  </si>
  <si>
    <t>Exploring the frontiers of environmental research 2026</t>
  </si>
  <si>
    <t>£100,000–£200,000; total fund £8m</t>
  </si>
  <si>
    <t>UK organisation eligible for NERC funding</t>
  </si>
  <si>
    <t>Very strong group fit: novel, curiosity-driven environmental research; statistical methods can underpin transformative environmental science.</t>
  </si>
  <si>
    <t>Environment; methods; interdisciplinary</t>
  </si>
  <si>
    <t>High relevance to environmental/ecological Statistics. Check UofG internal quality-management process.</t>
  </si>
  <si>
    <t>https://www.ukri.org/opportunity/exploring-the-frontiers-of-environmental-research-2026/</t>
  </si>
  <si>
    <t>Emmy Noether Fellowships</t>
  </si>
  <si>
    <t>Fellowship / research support</t>
  </si>
  <si>
    <t>£2,000–£10,000</t>
  </si>
  <si>
    <t>PhD in mathematics/closely related subject; UK university academic; caring-related eligibility</t>
  </si>
  <si>
    <t>Supports maintaining/re-establishing mathematical sciences research around significant caring responsibilities.</t>
  </si>
  <si>
    <t>Mathematics; fellowship; EDI</t>
  </si>
  <si>
    <t>One-year LMS Emmy Noether Fellow title.</t>
  </si>
  <si>
    <t>https://www.lms.ac.uk/news/lms-emmy-noether-fellowships-2026</t>
  </si>
  <si>
    <t>Healthy Planet, Healthy People: Catalyst Awards</t>
  </si>
  <si>
    <t>Community research / seed</t>
  </si>
  <si>
    <t>See current RSE call</t>
  </si>
  <si>
    <t>Interdisciplinary/community-led projects meeting scheme criteria</t>
  </si>
  <si>
    <t>Potential fit for environmental/health statistics where quantitative evaluation is embedded in community-led work.</t>
  </si>
  <si>
    <t>Environment; health; community</t>
  </si>
  <si>
    <t>More targeted than core RSE schemes.</t>
  </si>
  <si>
    <t>https://rse.org.uk/autumn-2026-rse-research-awards-programme-opens-today/</t>
  </si>
  <si>
    <t>Healthy Planet, Healthy People: Change Awards</t>
  </si>
  <si>
    <t>Follow-on / scale-up</t>
  </si>
  <si>
    <t>Up to £75,000</t>
  </si>
  <si>
    <t>For previous Catalyst Award recipients; see current call</t>
  </si>
  <si>
    <t>Relevant only to eligible prior Catalyst projects with statistical/environmental-health components.</t>
  </si>
  <si>
    <t>Environment; health; follow-on</t>
  </si>
  <si>
    <t>Restricted eligibility.</t>
  </si>
  <si>
    <t>Conference and Research Workshop Grants (Scheme 1)</t>
  </si>
  <si>
    <t>Conference / workshop</t>
  </si>
  <si>
    <t>Up to £7,000</t>
  </si>
  <si>
    <t>UK-based mathematician; PhD students not eligible to apply</t>
  </si>
  <si>
    <t>Highly relevant for Statistics workshops, specialist meetings and research events.</t>
  </si>
  <si>
    <t>Mathematics; events</t>
  </si>
  <si>
    <t>Recurring deadlines: 22 Jan and 15 May 2027.</t>
  </si>
  <si>
    <t>https://www.lms.ac.uk/grants/conference-grants-scheme-1</t>
  </si>
  <si>
    <t>Visiting Speakers to the UK (Scheme 2)</t>
  </si>
  <si>
    <t>Visitor / collaboration</t>
  </si>
  <si>
    <t>Up to £2,000 (+ possible caring costs)</t>
  </si>
  <si>
    <t>UK-based mathematician; visitor gives lectures at at least 3 institutions</t>
  </si>
  <si>
    <t>Useful for bringing international statisticians to Glasgow as part of a UK visit.</t>
  </si>
  <si>
    <t>Mathematics; visitor</t>
  </si>
  <si>
    <t>https://www.lms.ac.uk/grants/visits-uk-scheme-2</t>
  </si>
  <si>
    <t>Research Reboot / Research in Pairs (Scheme 4)</t>
  </si>
  <si>
    <t>Research / collaboration</t>
  </si>
  <si>
    <t>Up to £1,600</t>
  </si>
  <si>
    <t>UK-based mathematicians; Research in Pairs excludes PhD applicants</t>
  </si>
  <si>
    <t>Very useful small scheme for focused collaborative statistical research visits.</t>
  </si>
  <si>
    <t>https://www.lms.ac.uk/grants/research-pairs-scheme-4</t>
  </si>
  <si>
    <t>Collaborations with Developing Countries (Scheme 5)</t>
  </si>
  <si>
    <t>Up to £4,000</t>
  </si>
  <si>
    <t>UK-based mathematicians collaborating with eligible countries</t>
  </si>
  <si>
    <t>Useful for international mathematical/statistical collaboration and capacity building.</t>
  </si>
  <si>
    <t>Mathematics; international</t>
  </si>
  <si>
    <t>Atiyah UK-Lebanon Fellowships</t>
  </si>
  <si>
    <t>International fellowship</t>
  </si>
  <si>
    <t>Up to £8,600</t>
  </si>
  <si>
    <t>See LMS country/scheme eligibility</t>
  </si>
  <si>
    <t>Potentially relevant to mathematical sciences collaboration with Lebanon.</t>
  </si>
  <si>
    <t>Targeted geography.</t>
  </si>
  <si>
    <t>Undergraduate Research Bursaries</t>
  </si>
  <si>
    <t>Student research</t>
  </si>
  <si>
    <t>Up to £2,000</t>
  </si>
  <si>
    <t>See LMS scheme; supports undergraduate mathematical research</t>
  </si>
  <si>
    <t>Useful for summer research projects with Statistics students.</t>
  </si>
  <si>
    <t>UG; mathematics</t>
  </si>
  <si>
    <t>Flag to potential supervisors well before deadline.</t>
  </si>
  <si>
    <t>No closing date</t>
  </si>
  <si>
    <t>BBSRC / FAPESP</t>
  </si>
  <si>
    <t>BBSRC Brazil pump-priming award (FAPPA)</t>
  </si>
  <si>
    <t>International seed / collaboration</t>
  </si>
  <si>
    <t>Up to £35,000 at 100% FEC over 2 years</t>
  </si>
  <si>
    <t>UK lead must currently hold relevant BBSRC research funding; São Paulo partner must hold FAPESP grant</t>
  </si>
  <si>
    <t>Relevant for statistical methodology embedded in bioscience collaborations with São Paulo, but eligibility is restrictive.</t>
  </si>
  <si>
    <t>Bioscience; international; Brazil</t>
  </si>
  <si>
    <t>Apply at least 12 weeks before project start.</t>
  </si>
  <si>
    <t>https://www.ukri.org/opportunity/bbsrc-brazil-pump-priming-award-fappa/</t>
  </si>
  <si>
    <t>EPSRC</t>
  </si>
  <si>
    <t>Mathematical Sciences Small Grants</t>
  </si>
  <si>
    <t>FEC up to £100,000; EPSRC 80%; usually up to 12 months</t>
  </si>
  <si>
    <t>Standard EPSRC eligibility; majority of research within Mathematical Sciences remit</t>
  </si>
  <si>
    <t>Core FFS opportunity: ideal for pilot methods, proof-of-principle, short follow-ons, new collaborations and discipline hopping.</t>
  </si>
  <si>
    <t>Mathematics; methods; seed</t>
  </si>
  <si>
    <t>Always open.</t>
  </si>
  <si>
    <t>https://www.ukri.org/opportunity/mathematical-sciences-small-grants/</t>
  </si>
  <si>
    <t>UKRI / core</t>
  </si>
  <si>
    <t>EPSRC Standard Research Grant</t>
  </si>
  <si>
    <t>No stated limit on grant size or duration; EPSRC funds 80% FEC</t>
  </si>
  <si>
    <t>EPSRC-eligible applicants and organisations; research within EPSRC remit</t>
  </si>
  <si>
    <t>Core route for substantial statistical methodology and interdisciplinary mathematical sciences research.</t>
  </si>
  <si>
    <t>Mathematics; methods; interdisciplinary</t>
  </si>
  <si>
    <t>Always open; check current Funding Service guidance before applying.</t>
  </si>
  <si>
    <t>https://www.ukri.org/councils/epsrc/guidance-for-applicants/types-of-funding-we-offer/standard-research/</t>
  </si>
  <si>
    <t>EPSRC New Investigator Award: applicant-led mode</t>
  </si>
  <si>
    <t>ECR research grant</t>
  </si>
  <si>
    <t>Applicant-led; see current call for budget guidance</t>
  </si>
  <si>
    <t>First EPSRC application as project lead; transition to research independence</t>
  </si>
  <si>
    <t>Core opportunity for eligible early-career Statistics academics.</t>
  </si>
  <si>
    <t>https://www.ukri.org/opportunity/?keywords=new+investigator+grant</t>
  </si>
  <si>
    <t>Mathematical Sciences Early Independence Fellowship</t>
  </si>
  <si>
    <t>Maximum award £1.25m</t>
  </si>
  <si>
    <t>PhD plus evidence of career consolidation/productivity and plan for independent niche; Mathematical Sciences remit</t>
  </si>
  <si>
    <t>Core fellowship for mathematical/statistical researchers moving toward independence.</t>
  </si>
  <si>
    <t>Always open as of Sep 2026.</t>
  </si>
  <si>
    <t>https://www.ukri.org/opportunity/?keywords=postdoctoral+fellowships</t>
  </si>
  <si>
    <t>Sep/Oct 2026</t>
  </si>
  <si>
    <t>Enabling AI adoption across science and engineering</t>
  </si>
  <si>
    <t>Total fund £5m; maximum award around £250k (future-opportunities page previously noted figure subject to confirmation)</t>
  </si>
  <si>
    <t>UKRI-eligible research organisations; final eligibility at launch</t>
  </si>
  <si>
    <t>Strong cross-disciplinary route for statisticians applying AI to science and engineering research challenges.</t>
  </si>
  <si>
    <t>AI/ML; interdisciplinary</t>
  </si>
  <si>
    <t>Listed by UKRI for Sep 2026; check launched call for final details.</t>
  </si>
  <si>
    <t>https://www.ukri.org/apply-for-funding/future-research-and-innovation-funding-opportunities/</t>
  </si>
  <si>
    <t>UKRI future</t>
  </si>
  <si>
    <t>Oct 2026</t>
  </si>
  <si>
    <t>UKRI / NERC</t>
  </si>
  <si>
    <t>What Works Centre for a climate resilient UK</t>
  </si>
  <si>
    <t>Centre / evidence synthesis</t>
  </si>
  <si>
    <t>Total fund £26.4m</t>
  </si>
  <si>
    <t>Details at launch</t>
  </si>
  <si>
    <t>Potential major role for statistics in evidence synthesis, uncertainty, evaluation and climate adaptation decision support.</t>
  </si>
  <si>
    <t>Climate; evidence; policy</t>
  </si>
  <si>
    <t>Large consortium/centre opportunity.</t>
  </si>
  <si>
    <t>NERC Climate Adaptation ICURe Discover</t>
  </si>
  <si>
    <t>Innovation / market exploration</t>
  </si>
  <si>
    <t>Maximum award £2,500; 9-week part-time online programme</t>
  </si>
  <si>
    <t>Researchers/technicians with climate-adaptation ideas; final details at launch</t>
  </si>
  <si>
    <t>Relevant for translating statistical tools/models for climate adaptation into user-facing applications.</t>
  </si>
  <si>
    <t>Climate; innovation; impact</t>
  </si>
  <si>
    <t>Small but potentially useful impact/commercialisation route.</t>
  </si>
  <si>
    <t>Nov 2026</t>
  </si>
  <si>
    <t>Policy Fellowships</t>
  </si>
  <si>
    <t>Policy fellowship</t>
  </si>
  <si>
    <t>Award depends on partnership</t>
  </si>
  <si>
    <t>Early- and mid-career researchers; embedded in UK/devolved government; final details at launch</t>
  </si>
  <si>
    <t>Excellent route for statisticians interested in evidence, data and policy methodology.</t>
  </si>
  <si>
    <t>Policy; fellowship; data</t>
  </si>
  <si>
    <t>Plan-ahead opportunity.</t>
  </si>
  <si>
    <t>UKRI / EPSRC</t>
  </si>
  <si>
    <t>UKRI Research on Research Security Hub</t>
  </si>
  <si>
    <t>Research hub</t>
  </si>
  <si>
    <t>Funding TBC</t>
  </si>
  <si>
    <t>Final eligibility at launch</t>
  </si>
  <si>
    <t>Possible methodological role for statistics/data science in evidence generation and research-security analytics.</t>
  </si>
  <si>
    <t>Data; methods; security</t>
  </si>
  <si>
    <t>Consortium-scale and more peripheral to core Stats.</t>
  </si>
  <si>
    <t>Dec 2026</t>
  </si>
  <si>
    <t>Frontier AI research and development consortia</t>
  </si>
  <si>
    <t>R&amp;D consortium</t>
  </si>
  <si>
    <t>Total fund £50m; up to 10 awards</t>
  </si>
  <si>
    <t>Final details at launch; likely consortium/innovation focused</t>
  </si>
  <si>
    <t>Potentially relevant to ML/AI researchers, especially methodological work within larger consortia.</t>
  </si>
  <si>
    <t>AI/ML; consortium</t>
  </si>
  <si>
    <t>Monitor for academic eligibility and scope.</t>
  </si>
  <si>
    <t>Climate Adaptation, Environment, and Resilience: Ice-free Arctic Ocean</t>
  </si>
  <si>
    <t>Total fund £10m</t>
  </si>
  <si>
    <t>Final details at launch</t>
  </si>
  <si>
    <t>Potential fit for environmental/spatio-temporal statistics, extremes, data fusion and uncertainty quantification.</t>
  </si>
  <si>
    <t>Environment; climate; extremes</t>
  </si>
  <si>
    <t>Likely interdisciplinary consortium opportunity.</t>
  </si>
  <si>
    <t>Feb 2027</t>
  </si>
  <si>
    <t>Future Leaders Fellowships: round 12</t>
  </si>
  <si>
    <t>Total fund around £110m; previous fellowships £300k to &gt;£2m</t>
  </si>
  <si>
    <t>Personal awards; detailed eligibility at launch</t>
  </si>
  <si>
    <t>Major cross-disciplinary fellowship route for future research/innovation leaders in Statistics.</t>
  </si>
  <si>
    <t>Fellowship; all disciplines</t>
  </si>
  <si>
    <t>Important plan-ahead opportunity; likely internal selection at UofG—confirm when launched.</t>
  </si>
  <si>
    <t>University of Glasgow</t>
  </si>
  <si>
    <t>MedTech Innovation Fund</t>
  </si>
  <si>
    <t>Innovation / commercialisation</t>
  </si>
  <si>
    <t>See UofG current-round guidance</t>
  </si>
  <si>
    <t>UofG/GCU staff with salary support to 31 Jul 2027; healthcare/MedTech commercialisation focus</t>
  </si>
  <si>
    <t>Relevant to health statistics/AI where there is a device, diagnostic, software or commercialisable healthcare innovation.</t>
  </si>
  <si>
    <t>Health; AI/ML; innovation</t>
  </si>
  <si>
    <t>2026 round closed 18 Sep. Worth monitoring annually; prior case studies include ML and optimisation.</t>
  </si>
  <si>
    <t>https://www.gla.ac.uk/myglasgow/ris/ieed/innovation/innovationfunds/medtechinnovationfund/</t>
  </si>
  <si>
    <t>SWIFT / EPSRC</t>
  </si>
  <si>
    <t>SWIFT FlexiFund</t>
  </si>
  <si>
    <t>Impact / translation</t>
  </si>
  <si>
    <t>Up to £50,000; 6–12 months</t>
  </si>
  <si>
    <t>UK HEI/research organisation lead + at least one relevant non-academic partner/user/beneficiary; Forth &amp; Tay offshore wind benefit</t>
  </si>
  <si>
    <t>Strong applied fit for wind-energy forecasting, reliability, environmental statistics and data-driven offshore-wind tools.</t>
  </si>
  <si>
    <t>Energy; wind; impact; industry</t>
  </si>
  <si>
    <t>EOI closed 21 Sep; invited full proposal deadline 10 Nov 2026. Monitor future rounds.</t>
  </si>
  <si>
    <t>https://swiftoffshore.co.uk/funding/</t>
  </si>
  <si>
    <t>Funding Finder for Statistics (FFS) – working master list</t>
  </si>
  <si>
    <t>Purpose</t>
  </si>
  <si>
    <t>Curated opportunities likely to be useful to the University of Glasgow Statistics group. Designed as a source table for the Research &amp; Scholarship SharePoint funding finder.</t>
  </si>
  <si>
    <t>Last reviewed</t>
  </si>
  <si>
    <t>Curation rule</t>
  </si>
  <si>
    <t>Included where Statistics/Mathematical Sciences can plausibly lead, where statisticians could be substantive interdisciplinary collaborators, or where the scheme supports career development, visits, events or international collaboration relevant to the group.</t>
  </si>
  <si>
    <t>Status definitions</t>
  </si>
  <si>
    <t>OPEN = live and accepting applications; FORTHCOMING = announced by funder but final call may not yet be live; CLOSED – monitor recurrence = useful recurring/strategic call retained for planning; DEADLINE PASSED = assigned automatically when an exact deadline is before today.</t>
  </si>
  <si>
    <t>Suggested SharePoint filters</t>
  </si>
  <si>
    <t>Status; deadline; funder; type; theme tags; career stage / restriction.</t>
  </si>
  <si>
    <t>Important note</t>
  </si>
  <si>
    <t>Deadlines and eligibility can change. The Source column should be treated as the authoritative link and checked before an application is prepared.</t>
  </si>
  <si>
    <t>Source reviewed</t>
  </si>
  <si>
    <t>CoSE Funding Finder (uploaded workbook)</t>
  </si>
  <si>
    <t>ARIA opportunity spaces and active programme calls</t>
  </si>
  <si>
    <t>London Mathematical Society grants + deadline calendar</t>
  </si>
  <si>
    <t>Royal Society of Edinburgh Research Awards + autumn 2026 summary</t>
  </si>
  <si>
    <t>UKRI future research and innovation funding opportunities timeline (correct as of Sep 2026)</t>
  </si>
  <si>
    <t>University of Glasgow MedTech Innovation Fund</t>
  </si>
  <si>
    <t>Not carried over wholesale</t>
  </si>
  <si>
    <t>The CoSE finder contains many chemistry, engineering and discipline-specific prizes/calls that are not realistic Statistics opportunities. The FFS deliberately keeps only cross-cutting/core mathematical sciences opportunities and targeted application calls with a credible Statistics role.</t>
  </si>
  <si>
    <t>Email draft workflow</t>
  </si>
  <si>
    <t>Use the final six columns of the Funding opportunities table to prepare an Outlook email without sending it automatically.</t>
  </si>
  <si>
    <t>Step 1</t>
  </si>
  <si>
    <t>Step 2</t>
  </si>
  <si>
    <t>Review the generated Email subject and Email body.</t>
  </si>
  <si>
    <t>Step 3</t>
  </si>
  <si>
    <t>Copy the subject and body into Outlook, then copy the two hyperlink cells using Keep Source Formatting.</t>
  </si>
  <si>
    <t>Step 4</t>
  </si>
  <si>
    <t>Review and send the message manually, then enter the date in Notification date.</t>
  </si>
  <si>
    <t>Research / Scholarship</t>
  </si>
  <si>
    <t>Status setting</t>
  </si>
  <si>
    <t>Notify?</t>
  </si>
  <si>
    <t>Email subject</t>
  </si>
  <si>
    <t>Email body</t>
  </si>
  <si>
    <t>Notification date</t>
  </si>
  <si>
    <t>Research</t>
  </si>
  <si>
    <t>OPEN</t>
  </si>
  <si>
    <t>FORTHCOMING</t>
  </si>
  <si>
    <t>CLOSED – monitor recurrence</t>
  </si>
  <si>
    <t>CLOSED – invited stage continues</t>
  </si>
  <si>
    <t>Next call TBC</t>
  </si>
  <si>
    <t>Scholarship of Teaching &amp; Learning (SoTL) Fund</t>
  </si>
  <si>
    <t>Teaching and learning scholarship</t>
  </si>
  <si>
    <t>Amount and terms available on the UofG staff sign-in page</t>
  </si>
  <si>
    <t>University of Glasgow staff; check the internal call for full eligibility</t>
  </si>
  <si>
    <t>Strong fit for evaluating statistics teaching, assessment, student learning and evidence-based educational change.</t>
  </si>
  <si>
    <t>Scholarship; teaching; learning; assessment; evaluation</t>
  </si>
  <si>
    <t>The 2026 call opened on 5 January 2026. Check the internal funding page or L&amp;T newsletter for the next round.</t>
  </si>
  <si>
    <t>https://www.gla.ac.uk/myglasgow/learningandteaching/staff-support/funding/</t>
  </si>
  <si>
    <t>UofG Learning &amp; Teaching</t>
  </si>
  <si>
    <t>Scholarship</t>
  </si>
  <si>
    <t>Added at launch – no notification</t>
  </si>
  <si>
    <t>Learning &amp; Teaching Development Fund (LTDF)</t>
  </si>
  <si>
    <t>Teaching development</t>
  </si>
  <si>
    <t>All University of Glasgow staff may bid; check the internal call for full terms</t>
  </si>
  <si>
    <t>Relevant for developing and evaluating innovative Statistics teaching, curricula, assessment and inclusive learning practice.</t>
  </si>
  <si>
    <t>Scholarship; teaching; curriculum; assessment; innovation</t>
  </si>
  <si>
    <t>Check internal call</t>
  </si>
  <si>
    <t>Student–Staff Partnership Schemes (SSPS)</t>
  </si>
  <si>
    <t>Student–staff partnership</t>
  </si>
  <si>
    <t>Funding and terms available on the UofG staff sign-in page</t>
  </si>
  <si>
    <t>University of Glasgow staff and students working in partnership; check the internal scheme details</t>
  </si>
  <si>
    <t>Suitable for co-created Statistics projects on curriculum, assessment, belonging, student experience or quantitative learning support.</t>
  </si>
  <si>
    <t>Scholarship; students as partners; co-creation; student experience</t>
  </si>
  <si>
    <t>Monitor the internal Learning &amp; Teaching funding page for the next available scheme and deadlines.</t>
  </si>
  <si>
    <t>TBC – next academic year</t>
  </si>
  <si>
    <t>London Mathematical Society</t>
  </si>
  <si>
    <t>Single-Institution Teaching &amp; Scholarship Project Grants</t>
  </si>
  <si>
    <t>Teaching and scholarship project</t>
  </si>
  <si>
    <t>Up to £2,000; project delivered in the academic year following the award</t>
  </si>
  <si>
    <t>UK mathematical scientists building a teaching and scholarship profile; single-university team; lead below Associate Professor/Reader/Professor level; PhD students ineligible</t>
  </si>
  <si>
    <t>Excellent fit for a Statistics education project on teaching quality, curriculum, assessment, student experience or outcomes at Glasgow.</t>
  </si>
  <si>
    <t>Scholarship; mathematics education; curriculum; student success; evaluation</t>
  </si>
  <si>
    <t>Latest round closed; LMS states that a new call will take place in the next academic year. Monitor the scheme page.</t>
  </si>
  <si>
    <t>https://www.lms.ac.uk/grants/single-teaching-scholarship</t>
  </si>
  <si>
    <t>Collaborative Teaching &amp; Scholarship Project Grants</t>
  </si>
  <si>
    <t>Collaborative teaching scholarship</t>
  </si>
  <si>
    <t>Up to £3,000; project delivered in the academic year following the award</t>
  </si>
  <si>
    <t>UK mathematical scientists across at least two universities; lead below Associate Professor/Reader/Professor level; PhD students ineligible</t>
  </si>
  <si>
    <t>Strong route for multi-university Statistics education work on curricula, assessment, teaching methods, student experience or outcomes.</t>
  </si>
  <si>
    <t>Scholarship; collaboration; mathematics education; curriculum; evaluation</t>
  </si>
  <si>
    <t>Latest round closed; LMS states that a new call will take place in the next academic year. Identify potential partner universities early.</t>
  </si>
  <si>
    <t>https://www.lms.ac.uk/grants/collaborative-teaching-scholarship</t>
  </si>
  <si>
    <t>Scholarship Network Grants</t>
  </si>
  <si>
    <t>Teaching scholarship network</t>
  </si>
  <si>
    <t>Up to £1,000 per funding round for remote or in-person networking activity</t>
  </si>
  <si>
    <t>UK mathematical scientists from at least three HE institutions; applicant below Associate Professor/Reader/Professor level; PhD students ineligible</t>
  </si>
  <si>
    <t>Useful for building a Statistics education network around assessment, data literacy, inclusive quantitative education or curriculum innovation.</t>
  </si>
  <si>
    <t>Scholarship; network; mathematics education; events; collaboration</t>
  </si>
  <si>
    <t>Latest round closed; LMS states that a new call will take place in the next academic year. At least one event is expected to be in person.</t>
  </si>
  <si>
    <t>https://www.lms.ac.uk/grants/scholarship-networks</t>
  </si>
  <si>
    <t>QAA Scotland / CDN / SFC</t>
  </si>
  <si>
    <t>Scotland’s Tertiary Enhancement Programme (STEP) funded projects</t>
  </si>
  <si>
    <t>Collaborative educational enhancement</t>
  </si>
  <si>
    <t>Previous targeted call offered up to £10,000; future call value and terms TBC</t>
  </si>
  <si>
    <t>Previous call was open to staff and students at Scottish colleges and universities; multi-institution or agency collaboration and student partnership required</t>
  </si>
  <si>
    <t>Statistics could contribute evaluation design, quantitative evidence and projects supporting diverse learner journeys, assessment and student success.</t>
  </si>
  <si>
    <t>Scholarship; educational enhancement; student experience; collaboration; evaluation</t>
  </si>
  <si>
    <t>The verified £10,000 call closed on 3 December 2025. Monitor QAA Scotland and STEP for future funded project calls.</t>
  </si>
  <si>
    <t>https://www.qaa.ac.uk/scotland/news-events/news/step-calls-for-proposals-for-funded-project</t>
  </si>
  <si>
    <t>QAA Scotland</t>
  </si>
  <si>
    <t>1 October 2026</t>
  </si>
  <si>
    <t>Use Research for research funding, research career development, research events, visits and impact activity. Use Scholarship for teaching, learning or educational-development opportunities. Use Research and Scholarship when both apply.</t>
  </si>
  <si>
    <t>Set Notify? to Yes for a genuinely new opportunity. Existing launch entries are marked Added at launch – no notification.</t>
  </si>
  <si>
    <t>Yes</t>
  </si>
  <si>
    <t>-</t>
  </si>
  <si>
    <t>Conception X</t>
  </si>
  <si>
    <t>Venture Scientist 100</t>
  </si>
  <si>
    <t>Entrepreneurship / fellowship</t>
  </si>
  <si>
    <t>Free 9-month part-time venture-building fellowship (Mar–Nov 2027); selected teams can access up to £300k equity investment</t>
  </si>
  <si>
    <t>PhD students at UK/European universities working on innovative technology based on their research; exceptional recent PhD graduates, postdocs and ECRs may also be considered</t>
  </si>
  <si>
    <t>Opportunity for Statistics PhD researchers/ECRs to explore the commercial potential of research, particularly in AI/ML, data science and other technical areas.</t>
  </si>
  <si>
    <t>PGR; ECR; entrepreneurship; innovation; AI/ML</t>
  </si>
  <si>
    <t>Particularly relevant to PhD students with research that could underpin a spin-out or other commercial venture. ~65 hours over 9 months plus 3 mandatory in-person events.</t>
  </si>
  <si>
    <t>https://www.conceptionx.org/venture-scientist-100</t>
  </si>
  <si>
    <t>Conception X; UofG</t>
  </si>
  <si>
    <t>Early–mid March 2027 (TBC)</t>
  </si>
  <si>
    <t>Royal Society / British Academy</t>
  </si>
  <si>
    <t>International Fellowships 2027</t>
  </si>
  <si>
    <t>2 years; salary at 80% FEC + research expenses (2026: up to £12k) + relocation costs (2026: up to £8k)</t>
  </si>
  <si>
    <t>International ECRs based outside the UK; normally ≤5 years active full-time postdoctoral experience. Applicant must have/complete PhD by final awards stage, must not hold UK citizenship, and generally must not have lived/worked/researched in UK during previous 12 months. UK Sponsor required. For 2027, max. 8 applications per UK institution.</t>
  </si>
  <si>
    <t>Opportunity to recruit an international ECR to Glasgow for two years. Mathematics is explicitly within Royal Society remit; potentially relevant across Statistics research areas. Glasgow Statistics academics can act as UK Sponsors.</t>
  </si>
  <si>
    <t>All research areas; ECR; International; Fellowship</t>
  </si>
  <si>
    <t>Institutional demand management applies for 2027: Glasgow can submit max. 8 applications. Check UofG internal selection/deadline when announced. UK Sponsor may support only one application per round. Funding figures currently based on 2026 guidance; update once full 2027 scheme guidance is published.</t>
  </si>
  <si>
    <t>https://www.thebritishacademy.ac.uk/documents/6283/International_Fellowships_2027_-_FAQs.pdf?utm_source=chatgpt.com</t>
  </si>
  <si>
    <t>British Academy / Royal Society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</si>
</sst>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1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name val="Carlito"/>
    </font>
    <font>
      <sz val="11"/>
      <color rgb="FF7F6000"/>
      <name val="Arial"/>
      <family val="2"/>
    </font>
    <font>
      <sz val="11"/>
      <color rgb="FF1F4E78"/>
      <name val="Arial"/>
      <family val="2"/>
    </font>
    <font>
      <b/>
      <sz val="11"/>
      <color rgb="FFFFFFFF"/>
      <name val="Arial"/>
      <family val="2"/>
    </font>
    <font>
      <b/>
      <sz val="11"/>
      <color rgb="FF17365D"/>
      <name val="Arial"/>
      <family val="2"/>
    </font>
    <font>
      <sz val="11"/>
      <color rgb="FF222222"/>
      <name val="Arial"/>
      <family val="2"/>
    </font>
    <font>
      <b/>
      <sz val="11"/>
      <color rgb="FF990000"/>
      <name val="Arial"/>
      <family val="2"/>
    </font>
    <font>
      <b/>
      <sz val="11"/>
      <color rgb="FF38761D"/>
      <name val="Arial"/>
      <family val="2"/>
    </font>
    <font>
      <b/>
      <sz val="11"/>
      <color rgb="FF7F6000"/>
      <name val="Arial"/>
      <family val="2"/>
    </font>
    <font>
      <b/>
      <sz val="11"/>
      <color rgb="FF595959"/>
      <name val="Arial"/>
      <family val="2"/>
    </font>
    <font>
      <u/>
      <sz val="11"/>
      <color theme="10"/>
      <name val="Carlito"/>
    </font>
  </fonts>
  <fills count="1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4CCCC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EAF2F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AF2F8"/>
      </patternFill>
    </fill>
    <fill>
      <patternFill patternType="solid">
        <fgColor rgb="FFE7E6E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23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3" fillId="3" borderId="0" xfId="0" applyFont="1" applyFill="1" applyAlignment="1">
      <alignment vertical="top" wrapText="1"/>
    </xf>
    <xf numFmtId="0" fontId="8" fillId="0" borderId="0" xfId="0" applyFont="1" applyAlignment="1">
      <alignment vertical="top" wrapText="1"/>
    </xf>
    <xf numFmtId="0" fontId="6" fillId="4" borderId="0" xfId="0" applyFont="1" applyFill="1" applyAlignment="1">
      <alignment vertical="center" wrapText="1"/>
    </xf>
    <xf numFmtId="0" fontId="7" fillId="5" borderId="0" xfId="0" applyFont="1" applyFill="1" applyAlignment="1">
      <alignment vertical="top"/>
    </xf>
    <xf numFmtId="0" fontId="9" fillId="6" borderId="0" xfId="0" applyFont="1" applyFill="1" applyAlignment="1">
      <alignment vertical="center" wrapText="1"/>
    </xf>
    <xf numFmtId="0" fontId="10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4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vertical="top"/>
    </xf>
    <xf numFmtId="164" fontId="4" fillId="9" borderId="0" xfId="0" applyNumberFormat="1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 wrapText="1"/>
    </xf>
    <xf numFmtId="0" fontId="7" fillId="12" borderId="0" xfId="0" applyFont="1" applyFill="1" applyAlignment="1">
      <alignment vertical="top" wrapText="1"/>
    </xf>
    <xf numFmtId="0" fontId="4" fillId="13" borderId="0" xfId="0" applyFont="1" applyFill="1" applyAlignment="1">
      <alignment horizontal="center" vertical="center"/>
    </xf>
    <xf numFmtId="0" fontId="5" fillId="14" borderId="0" xfId="0" applyFont="1" applyFill="1" applyAlignment="1">
      <alignment vertical="top"/>
    </xf>
    <xf numFmtId="0" fontId="12" fillId="15" borderId="0" xfId="0" applyFont="1" applyFill="1" applyAlignment="1">
      <alignment vertical="center"/>
    </xf>
    <xf numFmtId="0" fontId="11" fillId="13" borderId="0" xfId="0" applyFont="1" applyFill="1" applyAlignment="1">
      <alignment vertical="center"/>
    </xf>
    <xf numFmtId="164" fontId="5" fillId="10" borderId="0" xfId="0" applyNumberFormat="1" applyFont="1" applyFill="1" applyAlignment="1">
      <alignment horizontal="left" vertical="top"/>
    </xf>
    <xf numFmtId="0" fontId="13" fillId="0" borderId="0" xfId="1" applyAlignment="1">
      <alignment wrapText="1"/>
    </xf>
    <xf numFmtId="0" fontId="2" fillId="2" borderId="0" xfId="0" applyFont="1" applyFill="1" applyAlignment="1">
      <alignment wrapText="1"/>
    </xf>
  </cellXfs>
  <cellStyles count="2">
    <cellStyle name="Hyperlink" xfId="1" builtinId="8"/>
    <cellStyle name="Normal" xfId="0" builtinId="0"/>
  </cellStyles>
  <dxfs count="13">
    <dxf>
      <font>
        <b/>
        <color rgb="FF990000"/>
      </font>
      <fill>
        <patternFill>
          <bgColor rgb="FFF4CCCC"/>
        </patternFill>
      </fill>
    </dxf>
    <dxf>
      <font>
        <b/>
        <color rgb="FF595959"/>
      </font>
      <fill>
        <patternFill>
          <bgColor rgb="FFE7E6E6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38761D"/>
      </font>
      <fill>
        <patternFill>
          <bgColor rgb="FFE2F0D9"/>
        </patternFill>
      </fill>
    </dxf>
    <dxf>
      <font>
        <b/>
        <color rgb="FF990000"/>
      </font>
      <fill>
        <patternFill>
          <bgColor rgb="FFF4CCCC"/>
        </patternFill>
      </fill>
    </dxf>
    <dxf>
      <font>
        <b/>
        <color rgb="FF595959"/>
      </font>
      <fill>
        <patternFill>
          <bgColor rgb="FFE7E6E6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38761D"/>
      </font>
      <fill>
        <patternFill>
          <bgColor rgb="FFE2F0D9"/>
        </patternFill>
      </fill>
    </dxf>
    <dxf>
      <alignment horizontal="left" vertical="top" textRotation="0" wrapText="0" indent="0" justifyLastLine="0" shrinkToFit="0" readingOrder="0"/>
    </dxf>
    <dxf>
      <font>
        <b/>
        <color rgb="FF990000"/>
      </font>
      <fill>
        <patternFill>
          <bgColor rgb="FFF4CCCC"/>
        </patternFill>
      </fill>
    </dxf>
    <dxf>
      <font>
        <b/>
        <color rgb="FF595959"/>
      </font>
      <fill>
        <patternFill>
          <bgColor rgb="FFE7E6E6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38761D"/>
      </font>
      <fill>
        <patternFill>
          <bgColor rgb="FFE2F0D9"/>
        </patternFill>
      </fill>
    </dxf>
  </dxfs>
  <tableStyles count="0" defaultTableStyle="TableStyleMedium2" defaultPivotStyle="PivotStyleLight16"/>
  <colors>
    <mruColors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undingFinderStats" displayName="FundingFinderStats" ref="A1:R51" totalsRowShown="0">
  <autoFilter ref="A1:R51" xr:uid="{00000000-0009-0000-0100-000001000000}"/>
  <tableColumns count="18">
    <tableColumn id="1" xr3:uid="{00000000-0010-0000-0000-000001000000}" name="Status">
      <calculatedColumnFormula>IF(AND(ISNUMBER(B2),B2&lt;TODAY()),"DEADLINE PASSED",N2)</calculatedColumnFormula>
    </tableColumn>
    <tableColumn id="2" xr3:uid="{00000000-0010-0000-0000-000002000000}" name="Deadline"/>
    <tableColumn id="3" xr3:uid="{00000000-0010-0000-0000-000003000000}" name="Funder"/>
    <tableColumn id="4" xr3:uid="{00000000-0010-0000-0000-000004000000}" name="Opportunity"/>
    <tableColumn id="5" xr3:uid="{00000000-0010-0000-0000-000005000000}" name="Type"/>
    <tableColumn id="6" xr3:uid="{00000000-0010-0000-0000-000006000000}" name="Funding / duration"/>
    <tableColumn id="7" xr3:uid="{00000000-0010-0000-0000-000007000000}" name="Who can apply / key restriction"/>
    <tableColumn id="8" xr3:uid="{00000000-0010-0000-0000-000008000000}" name="Why relevant to Statistics"/>
    <tableColumn id="9" xr3:uid="{00000000-0010-0000-0000-000009000000}" name="Theme tags"/>
    <tableColumn id="10" xr3:uid="{00000000-0010-0000-0000-00000A000000}" name="Internal action / note"/>
    <tableColumn id="11" xr3:uid="{00000000-0010-0000-0000-00000B000000}" name="Source"/>
    <tableColumn id="12" xr3:uid="{00000000-0010-0000-0000-00000C000000}" name="Source list"/>
    <tableColumn id="13" xr3:uid="{00000000-0010-0000-0000-00000D000000}" name="Research / Scholarship"/>
    <tableColumn id="14" xr3:uid="{00000000-0010-0000-0000-00000E000000}" name="Status setting"/>
    <tableColumn id="15" xr3:uid="{00000000-0010-0000-0000-00000F000000}" name="Notify?"/>
    <tableColumn id="16" xr3:uid="{00000000-0010-0000-0000-000010000000}" name="Email subject"/>
    <tableColumn id="17" xr3:uid="{00000000-0010-0000-0000-000011000000}" name="Email body" dataDxfId="8">
      <calculatedColumnFormula>IF(O2&lt;&gt;"Yes","","Hello,"&amp;CHAR(10)&amp;CHAR(10)&amp;"A new funding opportunity has been added to the Funding Finder for Statistics."&amp;CHAR(10)&amp;CHAR(10)&amp;"**"&amp;D2&amp;"**"&amp;CHAR(10)&amp;CHAR(10)&amp;"Funder: "&amp;C2&amp;CHAR(10)&amp;"Deadline: "&amp;IF(ISNUMBER(B2),TEXT(B2,"d mmmm yyyy"),B2)&amp;CHAR(10)&amp;"Funding and duration: "&amp;F2&amp;CHAR(10)&amp;CHAR(10)&amp;"Who can apply: "&amp;G2&amp;CHAR(10)&amp;CHAR(10)&amp;"Why it may be relevant to Statistics: "&amp;H2&amp;CHAR(10)&amp;CHAR(10)&amp;"Themes: "&amp;I2&amp;CHAR(10)&amp;CHAR(10)&amp;"Official opportunity: "&amp;K2&amp;CHAR(10)&amp;CHAR(10)&amp;"Funding Finder: "&amp;"https://uofgstats.github.io/research-and-scholarship/"&amp;CHAR(10)&amp;CHAR(10)&amp;"Please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 &amp; Vinny"&amp;CHAR(10)&amp;"Research Lead for Statistics")</calculatedColumnFormula>
    </tableColumn>
    <tableColumn id="20" xr3:uid="{00000000-0010-0000-0000-000014000000}" name="Notification 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https://www.thebritishacademy.ac.uk/documents/6283/International_Fellowships_2027_-_FAQs.pdf?utm_source=chatgpt.com" TargetMode="External"/><Relationship Id="rId1" Type="http://schemas.openxmlformats.org/officeDocument/2006/relationships/hyperlink" Target="https://www.conceptionx.org/venture-scientist-1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1"/>
  <sheetViews>
    <sheetView tabSelected="1" topLeftCell="K34" workbookViewId="0">
      <selection activeCell="P43" sqref="P43"/>
    </sheetView>
  </sheetViews>
  <sheetFormatPr baseColWidth="10" defaultColWidth="8.83203125" defaultRowHeight="14"/>
  <cols>
    <col min="1" max="1" width="18" customWidth="1"/>
    <col min="2" max="2" width="16" customWidth="1"/>
    <col min="3" max="3" width="22" customWidth="1"/>
    <col min="4" max="4" width="42" customWidth="1"/>
    <col min="5" max="5" width="22" customWidth="1"/>
    <col min="6" max="6" width="30" customWidth="1"/>
    <col min="7" max="7" width="40" customWidth="1"/>
    <col min="8" max="8" width="48" customWidth="1"/>
    <col min="9" max="9" width="28" customWidth="1"/>
    <col min="10" max="10" width="42" customWidth="1"/>
    <col min="11" max="11" width="50" customWidth="1"/>
    <col min="12" max="12" width="18" customWidth="1"/>
    <col min="13" max="13" width="24" customWidth="1"/>
    <col min="14" max="14" width="27" customWidth="1"/>
    <col min="15" max="15" width="34" customWidth="1"/>
    <col min="16" max="16" width="32" customWidth="1"/>
    <col min="17" max="17" width="48" customWidth="1"/>
    <col min="18" max="18" width="17" customWidth="1"/>
  </cols>
  <sheetData>
    <row r="1" spans="1:18" ht="80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4" t="s">
        <v>360</v>
      </c>
      <c r="N1" s="14" t="s">
        <v>361</v>
      </c>
      <c r="O1" s="14" t="s">
        <v>362</v>
      </c>
      <c r="P1" s="14" t="s">
        <v>363</v>
      </c>
      <c r="Q1" s="14" t="s">
        <v>364</v>
      </c>
      <c r="R1" s="14" t="s">
        <v>365</v>
      </c>
    </row>
    <row r="2" spans="1:18" ht="30">
      <c r="A2" s="8" t="str">
        <f t="shared" ref="A2:A42" ca="1" si="0">IF(AND(ISNUMBER(B2),B2&lt;TODAY()),"DEADLINE PASSED",N2)</f>
        <v>DEADLINE PASSED</v>
      </c>
      <c r="B2" s="3">
        <v>46295</v>
      </c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2" t="s">
        <v>19</v>
      </c>
      <c r="K2" s="2" t="s">
        <v>20</v>
      </c>
      <c r="L2" s="2" t="s">
        <v>12</v>
      </c>
      <c r="M2" s="11" t="s">
        <v>366</v>
      </c>
      <c r="N2" s="11" t="s">
        <v>367</v>
      </c>
      <c r="O2" s="11" t="s">
        <v>382</v>
      </c>
      <c r="P2" s="12" t="str">
        <f t="shared" ref="P2:P42" si="1">IF(O2&lt;&gt;"Yes","","New funding opportunity added: "&amp;D2)</f>
        <v/>
      </c>
      <c r="Q2" s="20" t="str">
        <f>IF(O2&lt;&gt;"Yes","","Hello,"&amp;CHAR(10)&amp;CHAR(10)&amp;"A new funding opportunity has been added to the Funding Finder for Statistics."&amp;CHAR(10)&amp;CHAR(10)&amp;"**"&amp;D2&amp;"**"&amp;CHAR(10)&amp;CHAR(10)&amp;"Funder: "&amp;C2&amp;CHAR(10)&amp;"Deadline: "&amp;IF(ISNUMBER(B2),TEXT(B2,"d mmmm yyyy"),B2)&amp;CHAR(10)&amp;"Funding and duration: "&amp;F2&amp;CHAR(10)&amp;CHAR(10)&amp;"Who can apply: "&amp;G2&amp;CHAR(10)&amp;CHAR(10)&amp;"Why it may be relevant to Statistics: "&amp;H2&amp;CHAR(10)&amp;CHAR(10)&amp;"Themes: "&amp;I2&amp;CHAR(10)&amp;CHAR(10)&amp;"Official opportunity: "&amp;K2&amp;CHAR(10)&amp;CHAR(10)&amp;"Funding Finder: "&amp;"https://uofgstats.github.io/research-and-scholarship/"&amp;CHAR(10)&amp;CHAR(10)&amp;"Please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 &amp; Vinny"&amp;CHAR(10)&amp;"Research Lead for Statistics")</f>
        <v/>
      </c>
      <c r="R2" s="13" t="s">
        <v>436</v>
      </c>
    </row>
    <row r="3" spans="1:18" ht="30">
      <c r="A3" s="8" t="str">
        <f t="shared" ca="1" si="0"/>
        <v>DEADLINE PASSED</v>
      </c>
      <c r="B3" s="3">
        <v>46295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25</v>
      </c>
      <c r="H3" s="2" t="s">
        <v>26</v>
      </c>
      <c r="I3" s="2" t="s">
        <v>27</v>
      </c>
      <c r="J3" s="2" t="s">
        <v>28</v>
      </c>
      <c r="K3" s="2" t="s">
        <v>29</v>
      </c>
      <c r="L3" s="2" t="s">
        <v>21</v>
      </c>
      <c r="M3" s="11" t="s">
        <v>366</v>
      </c>
      <c r="N3" s="11" t="s">
        <v>367</v>
      </c>
      <c r="O3" s="11" t="s">
        <v>382</v>
      </c>
      <c r="P3" s="12" t="str">
        <f t="shared" si="1"/>
        <v/>
      </c>
      <c r="Q3" s="20" t="str">
        <f t="shared" ref="Q3:Q49" si="2">IF(O3&lt;&gt;"Yes","","Hello,"&amp;CHAR(10)&amp;CHAR(10)&amp;"A new funding opportunity has been added to the Funding Finder for Statistics."&amp;CHAR(10)&amp;CHAR(10)&amp;"**"&amp;D3&amp;"**"&amp;CHAR(10)&amp;CHAR(10)&amp;"Funder: "&amp;C3&amp;CHAR(10)&amp;"Deadline: "&amp;IF(ISNUMBER(B3),TEXT(B3,"d mmmm yyyy"),B3)&amp;CHAR(10)&amp;"Funding and duration: "&amp;F3&amp;CHAR(10)&amp;CHAR(10)&amp;"Who can apply: "&amp;G3&amp;CHAR(10)&amp;CHAR(10)&amp;"Why it may be relevant to Statistics: "&amp;H3&amp;CHAR(10)&amp;CHAR(10)&amp;"Themes: "&amp;I3&amp;CHAR(10)&amp;CHAR(10)&amp;"Official opportunity: "&amp;K3&amp;CHAR(10)&amp;CHAR(10)&amp;"Funding Finder: "&amp;"https://uofgstats.github.io/research-and-scholarship/"&amp;CHAR(10)&amp;CHAR(10)&amp;"Please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 &amp; Vinny"&amp;CHAR(10)&amp;"Research Lead for Statistics")</f>
        <v/>
      </c>
      <c r="R3" s="13" t="s">
        <v>436</v>
      </c>
    </row>
    <row r="4" spans="1:18" ht="30">
      <c r="A4" s="9" t="str">
        <f t="shared" ca="1" si="0"/>
        <v>OPEN</v>
      </c>
      <c r="B4" s="3">
        <v>46296</v>
      </c>
      <c r="C4" s="2" t="s">
        <v>30</v>
      </c>
      <c r="D4" s="2" t="s">
        <v>31</v>
      </c>
      <c r="E4" s="2" t="s">
        <v>32</v>
      </c>
      <c r="F4" s="2" t="s">
        <v>33</v>
      </c>
      <c r="G4" s="2" t="s">
        <v>34</v>
      </c>
      <c r="H4" s="2" t="s">
        <v>35</v>
      </c>
      <c r="I4" s="2" t="s">
        <v>36</v>
      </c>
      <c r="J4" s="2" t="s">
        <v>37</v>
      </c>
      <c r="K4" s="2" t="s">
        <v>38</v>
      </c>
      <c r="L4" s="2" t="s">
        <v>12</v>
      </c>
      <c r="M4" s="11" t="s">
        <v>366</v>
      </c>
      <c r="N4" s="11" t="s">
        <v>367</v>
      </c>
      <c r="O4" s="11" t="s">
        <v>382</v>
      </c>
      <c r="P4" s="12" t="str">
        <f t="shared" si="1"/>
        <v/>
      </c>
      <c r="Q4" s="20" t="str">
        <f t="shared" si="2"/>
        <v/>
      </c>
      <c r="R4" s="13" t="s">
        <v>436</v>
      </c>
    </row>
    <row r="5" spans="1:18" ht="45">
      <c r="A5" s="9" t="str">
        <f t="shared" ca="1" si="0"/>
        <v>OPEN</v>
      </c>
      <c r="B5" s="3">
        <v>46304</v>
      </c>
      <c r="C5" s="2" t="s">
        <v>21</v>
      </c>
      <c r="D5" s="2" t="s">
        <v>39</v>
      </c>
      <c r="E5" s="2" t="s">
        <v>23</v>
      </c>
      <c r="F5" s="2" t="s">
        <v>40</v>
      </c>
      <c r="G5" s="2" t="s">
        <v>41</v>
      </c>
      <c r="H5" s="2" t="s">
        <v>42</v>
      </c>
      <c r="I5" s="2" t="s">
        <v>43</v>
      </c>
      <c r="J5" s="2" t="s">
        <v>44</v>
      </c>
      <c r="K5" s="2" t="s">
        <v>45</v>
      </c>
      <c r="L5" s="2" t="s">
        <v>21</v>
      </c>
      <c r="M5" s="11" t="s">
        <v>366</v>
      </c>
      <c r="N5" s="11" t="s">
        <v>367</v>
      </c>
      <c r="O5" s="11" t="s">
        <v>382</v>
      </c>
      <c r="P5" s="12" t="str">
        <f t="shared" si="1"/>
        <v/>
      </c>
      <c r="Q5" s="20" t="str">
        <f t="shared" si="2"/>
        <v/>
      </c>
      <c r="R5" s="13" t="s">
        <v>436</v>
      </c>
    </row>
    <row r="6" spans="1:18" ht="30">
      <c r="A6" s="9" t="str">
        <f t="shared" ca="1" si="0"/>
        <v>OPEN</v>
      </c>
      <c r="B6" s="3">
        <v>46310</v>
      </c>
      <c r="C6" s="2" t="s">
        <v>12</v>
      </c>
      <c r="D6" s="2" t="s">
        <v>46</v>
      </c>
      <c r="E6" s="2" t="s">
        <v>47</v>
      </c>
      <c r="F6" s="2" t="s">
        <v>48</v>
      </c>
      <c r="G6" s="2" t="s">
        <v>49</v>
      </c>
      <c r="H6" s="2" t="s">
        <v>50</v>
      </c>
      <c r="I6" s="2" t="s">
        <v>51</v>
      </c>
      <c r="J6" s="2" t="s">
        <v>52</v>
      </c>
      <c r="K6" s="2" t="s">
        <v>20</v>
      </c>
      <c r="L6" s="2" t="s">
        <v>12</v>
      </c>
      <c r="M6" s="11" t="s">
        <v>366</v>
      </c>
      <c r="N6" s="11" t="s">
        <v>367</v>
      </c>
      <c r="O6" s="11" t="s">
        <v>435</v>
      </c>
      <c r="P6" s="12" t="str">
        <f t="shared" si="1"/>
        <v>New funding opportunity added: Postgraduate Research Conference Grants (Scheme 8)</v>
      </c>
      <c r="Q6" s="20" t="str">
        <f t="shared" si="2"/>
        <v>Hello,
A new funding opportunity has been added to the Funding Finder for Statistics.
**Postgraduate Research Conference Grants (Scheme 8)**
Funder: LMS
Deadline: 15 October 2026
Funding and duration: Up to £2,500
Who can apply: For postgraduate-led research conferences; see LMS eligibility
Why it may be relevant to Statistics: Useful for Statistics PGRs organising specialist meetings.
Themes: PGR; mathematics; events
Official opportunity: https://www.lms.ac.uk/grants/calendar
Funding Finder: https://uofgstats.github.io/research-and-scholarship/
Please check the official funder page before preparing an application, as deadlines and eligibility requirements can change.
Best wishes,
Daniela &amp; Vinny
Research Lead for Statistics</v>
      </c>
      <c r="R6" s="13" t="s">
        <v>436</v>
      </c>
    </row>
    <row r="7" spans="1:18" ht="30">
      <c r="A7" s="9" t="str">
        <f t="shared" ca="1" si="0"/>
        <v>OPEN</v>
      </c>
      <c r="B7" s="3">
        <v>46310</v>
      </c>
      <c r="C7" s="2" t="s">
        <v>12</v>
      </c>
      <c r="D7" s="2" t="s">
        <v>53</v>
      </c>
      <c r="E7" s="2" t="s">
        <v>54</v>
      </c>
      <c r="F7" s="2" t="s">
        <v>55</v>
      </c>
      <c r="G7" s="2" t="s">
        <v>56</v>
      </c>
      <c r="H7" s="2" t="s">
        <v>57</v>
      </c>
      <c r="I7" s="2" t="s">
        <v>58</v>
      </c>
      <c r="J7" s="2" t="s">
        <v>52</v>
      </c>
      <c r="K7" s="2" t="s">
        <v>20</v>
      </c>
      <c r="L7" s="2" t="s">
        <v>12</v>
      </c>
      <c r="M7" s="11" t="s">
        <v>366</v>
      </c>
      <c r="N7" s="11" t="s">
        <v>367</v>
      </c>
      <c r="O7" s="11" t="s">
        <v>382</v>
      </c>
      <c r="P7" s="12" t="str">
        <f t="shared" si="1"/>
        <v/>
      </c>
      <c r="Q7" s="20" t="str">
        <f t="shared" si="2"/>
        <v/>
      </c>
      <c r="R7" s="13" t="s">
        <v>436</v>
      </c>
    </row>
    <row r="8" spans="1:18" ht="45">
      <c r="A8" s="9" t="str">
        <f t="shared" ca="1" si="0"/>
        <v>OPEN</v>
      </c>
      <c r="B8" s="3">
        <v>46310</v>
      </c>
      <c r="C8" s="2" t="s">
        <v>12</v>
      </c>
      <c r="D8" s="2" t="s">
        <v>59</v>
      </c>
      <c r="E8" s="2" t="s">
        <v>60</v>
      </c>
      <c r="F8" s="2" t="s">
        <v>61</v>
      </c>
      <c r="G8" s="2" t="s">
        <v>62</v>
      </c>
      <c r="H8" s="2" t="s">
        <v>63</v>
      </c>
      <c r="I8" s="2" t="s">
        <v>64</v>
      </c>
      <c r="J8" s="2" t="s">
        <v>65</v>
      </c>
      <c r="K8" s="2" t="s">
        <v>66</v>
      </c>
      <c r="L8" s="2" t="s">
        <v>12</v>
      </c>
      <c r="M8" s="11" t="s">
        <v>366</v>
      </c>
      <c r="N8" s="11" t="s">
        <v>367</v>
      </c>
      <c r="O8" s="11" t="s">
        <v>382</v>
      </c>
      <c r="P8" s="12" t="str">
        <f t="shared" si="1"/>
        <v/>
      </c>
      <c r="Q8" s="20" t="str">
        <f t="shared" si="2"/>
        <v/>
      </c>
      <c r="R8" s="13" t="s">
        <v>436</v>
      </c>
    </row>
    <row r="9" spans="1:18" ht="30">
      <c r="A9" s="9" t="str">
        <f t="shared" ca="1" si="0"/>
        <v>OPEN</v>
      </c>
      <c r="B9" s="3">
        <v>46316</v>
      </c>
      <c r="C9" s="2" t="s">
        <v>67</v>
      </c>
      <c r="D9" s="2" t="s">
        <v>68</v>
      </c>
      <c r="E9" s="2" t="s">
        <v>69</v>
      </c>
      <c r="F9" s="2" t="s">
        <v>70</v>
      </c>
      <c r="G9" s="2" t="s">
        <v>71</v>
      </c>
      <c r="H9" s="2" t="s">
        <v>72</v>
      </c>
      <c r="I9" s="2" t="s">
        <v>73</v>
      </c>
      <c r="J9" s="2" t="s">
        <v>74</v>
      </c>
      <c r="K9" s="2" t="s">
        <v>75</v>
      </c>
      <c r="L9" s="2" t="s">
        <v>67</v>
      </c>
      <c r="M9" s="11" t="s">
        <v>366</v>
      </c>
      <c r="N9" s="11" t="s">
        <v>367</v>
      </c>
      <c r="O9" s="11" t="s">
        <v>382</v>
      </c>
      <c r="P9" s="12" t="str">
        <f t="shared" si="1"/>
        <v/>
      </c>
      <c r="Q9" s="20" t="str">
        <f t="shared" si="2"/>
        <v/>
      </c>
      <c r="R9" s="13" t="s">
        <v>436</v>
      </c>
    </row>
    <row r="10" spans="1:18" ht="30">
      <c r="A10" s="9" t="str">
        <f t="shared" ca="1" si="0"/>
        <v>OPEN</v>
      </c>
      <c r="B10" s="3">
        <v>46316</v>
      </c>
      <c r="C10" s="2" t="s">
        <v>67</v>
      </c>
      <c r="D10" s="2" t="s">
        <v>76</v>
      </c>
      <c r="E10" s="2" t="s">
        <v>77</v>
      </c>
      <c r="F10" s="2" t="s">
        <v>78</v>
      </c>
      <c r="G10" s="2" t="s">
        <v>79</v>
      </c>
      <c r="H10" s="2" t="s">
        <v>80</v>
      </c>
      <c r="I10" s="2" t="s">
        <v>81</v>
      </c>
      <c r="J10" s="2" t="s">
        <v>82</v>
      </c>
      <c r="K10" s="2" t="s">
        <v>83</v>
      </c>
      <c r="L10" s="2" t="s">
        <v>67</v>
      </c>
      <c r="M10" s="11" t="s">
        <v>366</v>
      </c>
      <c r="N10" s="11" t="s">
        <v>367</v>
      </c>
      <c r="O10" s="11" t="s">
        <v>382</v>
      </c>
      <c r="P10" s="12" t="str">
        <f t="shared" si="1"/>
        <v/>
      </c>
      <c r="Q10" s="20" t="str">
        <f t="shared" si="2"/>
        <v/>
      </c>
      <c r="R10" s="13" t="s">
        <v>436</v>
      </c>
    </row>
    <row r="11" spans="1:18" ht="30">
      <c r="A11" s="9" t="str">
        <f t="shared" ca="1" si="0"/>
        <v>OPEN</v>
      </c>
      <c r="B11" s="3">
        <v>46316</v>
      </c>
      <c r="C11" s="2" t="s">
        <v>67</v>
      </c>
      <c r="D11" s="2" t="s">
        <v>84</v>
      </c>
      <c r="E11" s="2" t="s">
        <v>85</v>
      </c>
      <c r="F11" s="2" t="s">
        <v>86</v>
      </c>
      <c r="G11" s="2" t="s">
        <v>87</v>
      </c>
      <c r="H11" s="2" t="s">
        <v>88</v>
      </c>
      <c r="I11" s="2" t="s">
        <v>89</v>
      </c>
      <c r="J11" s="2" t="s">
        <v>90</v>
      </c>
      <c r="K11" s="2" t="s">
        <v>91</v>
      </c>
      <c r="L11" s="2" t="s">
        <v>67</v>
      </c>
      <c r="M11" s="11" t="s">
        <v>366</v>
      </c>
      <c r="N11" s="11" t="s">
        <v>367</v>
      </c>
      <c r="O11" s="11" t="s">
        <v>382</v>
      </c>
      <c r="P11" s="12" t="str">
        <f t="shared" si="1"/>
        <v/>
      </c>
      <c r="Q11" s="20" t="str">
        <f t="shared" si="2"/>
        <v/>
      </c>
      <c r="R11" s="13" t="s">
        <v>436</v>
      </c>
    </row>
    <row r="12" spans="1:18" ht="30">
      <c r="A12" s="9" t="str">
        <f t="shared" ca="1" si="0"/>
        <v>OPEN</v>
      </c>
      <c r="B12" s="3">
        <v>46316</v>
      </c>
      <c r="C12" s="2" t="s">
        <v>67</v>
      </c>
      <c r="D12" s="2" t="s">
        <v>92</v>
      </c>
      <c r="E12" s="2" t="s">
        <v>93</v>
      </c>
      <c r="F12" s="2" t="s">
        <v>94</v>
      </c>
      <c r="G12" s="2" t="s">
        <v>95</v>
      </c>
      <c r="H12" s="2" t="s">
        <v>96</v>
      </c>
      <c r="I12" s="2" t="s">
        <v>97</v>
      </c>
      <c r="J12" s="2" t="s">
        <v>98</v>
      </c>
      <c r="K12" s="2" t="s">
        <v>99</v>
      </c>
      <c r="L12" s="2" t="s">
        <v>67</v>
      </c>
      <c r="M12" s="11" t="s">
        <v>366</v>
      </c>
      <c r="N12" s="11" t="s">
        <v>367</v>
      </c>
      <c r="O12" s="11" t="s">
        <v>382</v>
      </c>
      <c r="P12" s="12" t="str">
        <f t="shared" si="1"/>
        <v/>
      </c>
      <c r="Q12" s="20" t="str">
        <f t="shared" si="2"/>
        <v/>
      </c>
      <c r="R12" s="13" t="s">
        <v>436</v>
      </c>
    </row>
    <row r="13" spans="1:18" ht="30">
      <c r="A13" s="9" t="str">
        <f t="shared" ca="1" si="0"/>
        <v>OPEN</v>
      </c>
      <c r="B13" s="3">
        <v>46316</v>
      </c>
      <c r="C13" s="2" t="s">
        <v>67</v>
      </c>
      <c r="D13" s="2" t="s">
        <v>100</v>
      </c>
      <c r="E13" s="2" t="s">
        <v>101</v>
      </c>
      <c r="F13" s="2" t="s">
        <v>102</v>
      </c>
      <c r="G13" s="2" t="s">
        <v>103</v>
      </c>
      <c r="H13" s="2" t="s">
        <v>104</v>
      </c>
      <c r="I13" s="2" t="s">
        <v>105</v>
      </c>
      <c r="J13" s="2" t="s">
        <v>106</v>
      </c>
      <c r="K13" s="2" t="s">
        <v>107</v>
      </c>
      <c r="L13" s="2" t="s">
        <v>67</v>
      </c>
      <c r="M13" s="11" t="s">
        <v>366</v>
      </c>
      <c r="N13" s="11" t="s">
        <v>367</v>
      </c>
      <c r="O13" s="11" t="s">
        <v>382</v>
      </c>
      <c r="P13" s="12" t="str">
        <f t="shared" si="1"/>
        <v/>
      </c>
      <c r="Q13" s="20" t="str">
        <f t="shared" si="2"/>
        <v/>
      </c>
      <c r="R13" s="13" t="s">
        <v>436</v>
      </c>
    </row>
    <row r="14" spans="1:18" ht="45">
      <c r="A14" s="9" t="str">
        <f t="shared" ca="1" si="0"/>
        <v>OPEN</v>
      </c>
      <c r="B14" s="3">
        <v>46316</v>
      </c>
      <c r="C14" s="2" t="s">
        <v>67</v>
      </c>
      <c r="D14" s="2" t="s">
        <v>108</v>
      </c>
      <c r="E14" s="2" t="s">
        <v>93</v>
      </c>
      <c r="F14" s="2" t="s">
        <v>109</v>
      </c>
      <c r="G14" s="2" t="s">
        <v>110</v>
      </c>
      <c r="H14" s="2" t="s">
        <v>111</v>
      </c>
      <c r="I14" s="2" t="s">
        <v>112</v>
      </c>
      <c r="J14" s="2" t="s">
        <v>113</v>
      </c>
      <c r="K14" s="2" t="s">
        <v>114</v>
      </c>
      <c r="L14" s="2" t="s">
        <v>67</v>
      </c>
      <c r="M14" s="11" t="s">
        <v>366</v>
      </c>
      <c r="N14" s="11" t="s">
        <v>367</v>
      </c>
      <c r="O14" s="11" t="s">
        <v>382</v>
      </c>
      <c r="P14" s="12" t="str">
        <f t="shared" si="1"/>
        <v/>
      </c>
      <c r="Q14" s="20" t="str">
        <f t="shared" si="2"/>
        <v/>
      </c>
      <c r="R14" s="13" t="s">
        <v>436</v>
      </c>
    </row>
    <row r="15" spans="1:18" ht="45">
      <c r="A15" s="9" t="str">
        <f t="shared" ca="1" si="0"/>
        <v>OPEN</v>
      </c>
      <c r="B15" s="3">
        <v>46323</v>
      </c>
      <c r="C15" s="2" t="s">
        <v>115</v>
      </c>
      <c r="D15" s="2" t="s">
        <v>116</v>
      </c>
      <c r="E15" s="2" t="s">
        <v>117</v>
      </c>
      <c r="F15" s="2" t="s">
        <v>118</v>
      </c>
      <c r="G15" s="2" t="s">
        <v>119</v>
      </c>
      <c r="H15" s="2" t="s">
        <v>120</v>
      </c>
      <c r="I15" s="2" t="s">
        <v>121</v>
      </c>
      <c r="J15" s="2" t="s">
        <v>122</v>
      </c>
      <c r="K15" s="2" t="s">
        <v>123</v>
      </c>
      <c r="L15" s="2" t="s">
        <v>124</v>
      </c>
      <c r="M15" s="11" t="s">
        <v>366</v>
      </c>
      <c r="N15" s="11" t="s">
        <v>367</v>
      </c>
      <c r="O15" s="11" t="s">
        <v>382</v>
      </c>
      <c r="P15" s="12" t="str">
        <f t="shared" si="1"/>
        <v/>
      </c>
      <c r="Q15" s="20" t="str">
        <f t="shared" si="2"/>
        <v/>
      </c>
      <c r="R15" s="13" t="s">
        <v>436</v>
      </c>
    </row>
    <row r="16" spans="1:18" ht="30">
      <c r="A16" s="9" t="str">
        <f t="shared" ca="1" si="0"/>
        <v>OPEN</v>
      </c>
      <c r="B16" s="3">
        <v>46328</v>
      </c>
      <c r="C16" s="2" t="s">
        <v>125</v>
      </c>
      <c r="D16" s="2" t="s">
        <v>126</v>
      </c>
      <c r="E16" s="2" t="s">
        <v>127</v>
      </c>
      <c r="F16" s="2" t="s">
        <v>128</v>
      </c>
      <c r="G16" s="2" t="s">
        <v>129</v>
      </c>
      <c r="H16" s="2" t="s">
        <v>130</v>
      </c>
      <c r="I16" s="2" t="s">
        <v>131</v>
      </c>
      <c r="J16" s="2" t="s">
        <v>132</v>
      </c>
      <c r="K16" s="2" t="s">
        <v>133</v>
      </c>
      <c r="L16" s="2" t="s">
        <v>67</v>
      </c>
      <c r="M16" s="11" t="s">
        <v>366</v>
      </c>
      <c r="N16" s="11" t="s">
        <v>367</v>
      </c>
      <c r="O16" s="11" t="s">
        <v>382</v>
      </c>
      <c r="P16" s="12" t="str">
        <f t="shared" si="1"/>
        <v/>
      </c>
      <c r="Q16" s="20" t="str">
        <f t="shared" si="2"/>
        <v/>
      </c>
      <c r="R16" s="13" t="s">
        <v>436</v>
      </c>
    </row>
    <row r="17" spans="1:18" ht="30">
      <c r="A17" s="9" t="str">
        <f t="shared" ca="1" si="0"/>
        <v>OPEN</v>
      </c>
      <c r="B17" s="3">
        <v>46336</v>
      </c>
      <c r="C17" s="2" t="s">
        <v>134</v>
      </c>
      <c r="D17" s="2" t="s">
        <v>135</v>
      </c>
      <c r="E17" s="2" t="s">
        <v>85</v>
      </c>
      <c r="F17" s="2" t="s">
        <v>136</v>
      </c>
      <c r="G17" s="2" t="s">
        <v>137</v>
      </c>
      <c r="H17" s="2" t="s">
        <v>138</v>
      </c>
      <c r="I17" s="2" t="s">
        <v>139</v>
      </c>
      <c r="J17" s="2" t="s">
        <v>140</v>
      </c>
      <c r="K17" s="2" t="s">
        <v>141</v>
      </c>
      <c r="L17" s="2" t="s">
        <v>124</v>
      </c>
      <c r="M17" s="11" t="s">
        <v>366</v>
      </c>
      <c r="N17" s="11" t="s">
        <v>367</v>
      </c>
      <c r="O17" s="11" t="s">
        <v>382</v>
      </c>
      <c r="P17" s="12" t="str">
        <f t="shared" si="1"/>
        <v/>
      </c>
      <c r="Q17" s="20" t="str">
        <f t="shared" si="2"/>
        <v/>
      </c>
      <c r="R17" s="13" t="s">
        <v>436</v>
      </c>
    </row>
    <row r="18" spans="1:18" ht="45">
      <c r="A18" s="9" t="str">
        <f t="shared" ca="1" si="0"/>
        <v>OPEN</v>
      </c>
      <c r="B18" s="3">
        <v>46338</v>
      </c>
      <c r="C18" s="2" t="s">
        <v>142</v>
      </c>
      <c r="D18" s="2" t="s">
        <v>143</v>
      </c>
      <c r="E18" s="2" t="s">
        <v>85</v>
      </c>
      <c r="F18" s="2" t="s">
        <v>144</v>
      </c>
      <c r="G18" s="2" t="s">
        <v>145</v>
      </c>
      <c r="H18" s="2" t="s">
        <v>146</v>
      </c>
      <c r="I18" s="2" t="s">
        <v>147</v>
      </c>
      <c r="J18" s="2" t="s">
        <v>148</v>
      </c>
      <c r="K18" s="2" t="s">
        <v>149</v>
      </c>
      <c r="L18" s="2" t="s">
        <v>124</v>
      </c>
      <c r="M18" s="11" t="s">
        <v>366</v>
      </c>
      <c r="N18" s="11" t="s">
        <v>367</v>
      </c>
      <c r="O18" s="11" t="s">
        <v>382</v>
      </c>
      <c r="P18" s="12" t="str">
        <f t="shared" si="1"/>
        <v/>
      </c>
      <c r="Q18" s="20" t="str">
        <f t="shared" si="2"/>
        <v/>
      </c>
      <c r="R18" s="13" t="s">
        <v>436</v>
      </c>
    </row>
    <row r="19" spans="1:18" ht="30">
      <c r="A19" s="9" t="str">
        <f t="shared" ca="1" si="0"/>
        <v>OPEN</v>
      </c>
      <c r="B19" s="3">
        <v>46356</v>
      </c>
      <c r="C19" s="2" t="s">
        <v>12</v>
      </c>
      <c r="D19" s="2" t="s">
        <v>150</v>
      </c>
      <c r="E19" s="2" t="s">
        <v>151</v>
      </c>
      <c r="F19" s="2" t="s">
        <v>152</v>
      </c>
      <c r="G19" s="2" t="s">
        <v>153</v>
      </c>
      <c r="H19" s="2" t="s">
        <v>154</v>
      </c>
      <c r="I19" s="2" t="s">
        <v>155</v>
      </c>
      <c r="J19" s="2" t="s">
        <v>156</v>
      </c>
      <c r="K19" s="2" t="s">
        <v>157</v>
      </c>
      <c r="L19" s="2" t="s">
        <v>12</v>
      </c>
      <c r="M19" s="11" t="s">
        <v>366</v>
      </c>
      <c r="N19" s="11" t="s">
        <v>367</v>
      </c>
      <c r="O19" s="11" t="s">
        <v>382</v>
      </c>
      <c r="P19" s="12" t="str">
        <f t="shared" si="1"/>
        <v/>
      </c>
      <c r="Q19" s="20" t="str">
        <f t="shared" si="2"/>
        <v/>
      </c>
      <c r="R19" s="13" t="s">
        <v>436</v>
      </c>
    </row>
    <row r="20" spans="1:18" ht="45">
      <c r="A20" s="9" t="str">
        <f t="shared" ca="1" si="0"/>
        <v>OPEN</v>
      </c>
      <c r="B20" s="3">
        <v>46357</v>
      </c>
      <c r="C20" s="2" t="s">
        <v>67</v>
      </c>
      <c r="D20" s="2" t="s">
        <v>158</v>
      </c>
      <c r="E20" s="2" t="s">
        <v>159</v>
      </c>
      <c r="F20" s="2" t="s">
        <v>160</v>
      </c>
      <c r="G20" s="2" t="s">
        <v>161</v>
      </c>
      <c r="H20" s="2" t="s">
        <v>162</v>
      </c>
      <c r="I20" s="2" t="s">
        <v>163</v>
      </c>
      <c r="J20" s="2" t="s">
        <v>164</v>
      </c>
      <c r="K20" s="2" t="s">
        <v>165</v>
      </c>
      <c r="L20" s="2" t="s">
        <v>67</v>
      </c>
      <c r="M20" s="11" t="s">
        <v>366</v>
      </c>
      <c r="N20" s="11" t="s">
        <v>367</v>
      </c>
      <c r="O20" s="11" t="s">
        <v>382</v>
      </c>
      <c r="P20" s="12" t="str">
        <f t="shared" si="1"/>
        <v/>
      </c>
      <c r="Q20" s="20" t="str">
        <f t="shared" si="2"/>
        <v/>
      </c>
      <c r="R20" s="13" t="s">
        <v>436</v>
      </c>
    </row>
    <row r="21" spans="1:18" ht="30">
      <c r="A21" s="9" t="str">
        <f t="shared" ca="1" si="0"/>
        <v>OPEN</v>
      </c>
      <c r="B21" s="3">
        <v>46357</v>
      </c>
      <c r="C21" s="2" t="s">
        <v>67</v>
      </c>
      <c r="D21" s="2" t="s">
        <v>166</v>
      </c>
      <c r="E21" s="2" t="s">
        <v>167</v>
      </c>
      <c r="F21" s="2" t="s">
        <v>168</v>
      </c>
      <c r="G21" s="2" t="s">
        <v>169</v>
      </c>
      <c r="H21" s="2" t="s">
        <v>170</v>
      </c>
      <c r="I21" s="2" t="s">
        <v>171</v>
      </c>
      <c r="J21" s="2" t="s">
        <v>172</v>
      </c>
      <c r="K21" s="2" t="s">
        <v>165</v>
      </c>
      <c r="L21" s="2" t="s">
        <v>67</v>
      </c>
      <c r="M21" s="11" t="s">
        <v>366</v>
      </c>
      <c r="N21" s="11" t="s">
        <v>367</v>
      </c>
      <c r="O21" s="11" t="s">
        <v>382</v>
      </c>
      <c r="P21" s="12" t="str">
        <f t="shared" si="1"/>
        <v/>
      </c>
      <c r="Q21" s="20" t="str">
        <f t="shared" si="2"/>
        <v/>
      </c>
      <c r="R21" s="13" t="s">
        <v>436</v>
      </c>
    </row>
    <row r="22" spans="1:18" ht="30">
      <c r="A22" s="9" t="str">
        <f t="shared" ca="1" si="0"/>
        <v>OPEN</v>
      </c>
      <c r="B22" s="3">
        <v>46409</v>
      </c>
      <c r="C22" s="2" t="s">
        <v>12</v>
      </c>
      <c r="D22" s="2" t="s">
        <v>173</v>
      </c>
      <c r="E22" s="2" t="s">
        <v>174</v>
      </c>
      <c r="F22" s="2" t="s">
        <v>175</v>
      </c>
      <c r="G22" s="2" t="s">
        <v>176</v>
      </c>
      <c r="H22" s="2" t="s">
        <v>177</v>
      </c>
      <c r="I22" s="2" t="s">
        <v>178</v>
      </c>
      <c r="J22" s="2" t="s">
        <v>179</v>
      </c>
      <c r="K22" s="2" t="s">
        <v>180</v>
      </c>
      <c r="L22" s="2" t="s">
        <v>12</v>
      </c>
      <c r="M22" s="11" t="s">
        <v>366</v>
      </c>
      <c r="N22" s="11" t="s">
        <v>367</v>
      </c>
      <c r="O22" s="11" t="s">
        <v>382</v>
      </c>
      <c r="P22" s="12" t="str">
        <f t="shared" si="1"/>
        <v/>
      </c>
      <c r="Q22" s="20" t="str">
        <f t="shared" si="2"/>
        <v/>
      </c>
      <c r="R22" s="13" t="s">
        <v>436</v>
      </c>
    </row>
    <row r="23" spans="1:18" ht="30">
      <c r="A23" s="9" t="str">
        <f t="shared" ca="1" si="0"/>
        <v>OPEN</v>
      </c>
      <c r="B23" s="3">
        <v>46409</v>
      </c>
      <c r="C23" s="2" t="s">
        <v>12</v>
      </c>
      <c r="D23" s="2" t="s">
        <v>181</v>
      </c>
      <c r="E23" s="2" t="s">
        <v>182</v>
      </c>
      <c r="F23" s="2" t="s">
        <v>183</v>
      </c>
      <c r="G23" s="2" t="s">
        <v>184</v>
      </c>
      <c r="H23" s="2" t="s">
        <v>185</v>
      </c>
      <c r="I23" s="2" t="s">
        <v>186</v>
      </c>
      <c r="J23" s="2" t="s">
        <v>179</v>
      </c>
      <c r="K23" s="2" t="s">
        <v>187</v>
      </c>
      <c r="L23" s="2" t="s">
        <v>12</v>
      </c>
      <c r="M23" s="11" t="s">
        <v>366</v>
      </c>
      <c r="N23" s="11" t="s">
        <v>367</v>
      </c>
      <c r="O23" s="11" t="s">
        <v>382</v>
      </c>
      <c r="P23" s="12" t="str">
        <f t="shared" si="1"/>
        <v/>
      </c>
      <c r="Q23" s="20" t="str">
        <f t="shared" si="2"/>
        <v/>
      </c>
      <c r="R23" s="13" t="s">
        <v>436</v>
      </c>
    </row>
    <row r="24" spans="1:18" ht="30">
      <c r="A24" s="9" t="str">
        <f t="shared" ca="1" si="0"/>
        <v>OPEN</v>
      </c>
      <c r="B24" s="3">
        <v>46409</v>
      </c>
      <c r="C24" s="2" t="s">
        <v>12</v>
      </c>
      <c r="D24" s="2" t="s">
        <v>188</v>
      </c>
      <c r="E24" s="2" t="s">
        <v>189</v>
      </c>
      <c r="F24" s="2" t="s">
        <v>190</v>
      </c>
      <c r="G24" s="2" t="s">
        <v>191</v>
      </c>
      <c r="H24" s="2" t="s">
        <v>192</v>
      </c>
      <c r="I24" s="2" t="s">
        <v>18</v>
      </c>
      <c r="J24" s="2" t="s">
        <v>179</v>
      </c>
      <c r="K24" s="2" t="s">
        <v>193</v>
      </c>
      <c r="L24" s="2" t="s">
        <v>12</v>
      </c>
      <c r="M24" s="11" t="s">
        <v>366</v>
      </c>
      <c r="N24" s="11" t="s">
        <v>367</v>
      </c>
      <c r="O24" s="11" t="s">
        <v>382</v>
      </c>
      <c r="P24" s="12" t="str">
        <f t="shared" si="1"/>
        <v/>
      </c>
      <c r="Q24" s="20" t="str">
        <f t="shared" si="2"/>
        <v/>
      </c>
      <c r="R24" s="13" t="s">
        <v>436</v>
      </c>
    </row>
    <row r="25" spans="1:18" ht="30">
      <c r="A25" s="9" t="str">
        <f t="shared" ca="1" si="0"/>
        <v>OPEN</v>
      </c>
      <c r="B25" s="3">
        <v>46409</v>
      </c>
      <c r="C25" s="2" t="s">
        <v>12</v>
      </c>
      <c r="D25" s="2" t="s">
        <v>194</v>
      </c>
      <c r="E25" s="2" t="s">
        <v>93</v>
      </c>
      <c r="F25" s="2" t="s">
        <v>195</v>
      </c>
      <c r="G25" s="2" t="s">
        <v>196</v>
      </c>
      <c r="H25" s="2" t="s">
        <v>197</v>
      </c>
      <c r="I25" s="2" t="s">
        <v>198</v>
      </c>
      <c r="J25" s="2" t="s">
        <v>179</v>
      </c>
      <c r="K25" s="2" t="s">
        <v>20</v>
      </c>
      <c r="L25" s="2" t="s">
        <v>12</v>
      </c>
      <c r="M25" s="11" t="s">
        <v>366</v>
      </c>
      <c r="N25" s="11" t="s">
        <v>367</v>
      </c>
      <c r="O25" s="11" t="s">
        <v>382</v>
      </c>
      <c r="P25" s="12" t="str">
        <f t="shared" si="1"/>
        <v/>
      </c>
      <c r="Q25" s="20" t="str">
        <f t="shared" si="2"/>
        <v/>
      </c>
      <c r="R25" s="13" t="s">
        <v>436</v>
      </c>
    </row>
    <row r="26" spans="1:18" ht="30">
      <c r="A26" s="9" t="str">
        <f t="shared" ca="1" si="0"/>
        <v>OPEN</v>
      </c>
      <c r="B26" s="3">
        <v>46418</v>
      </c>
      <c r="C26" s="2" t="s">
        <v>12</v>
      </c>
      <c r="D26" s="2" t="s">
        <v>199</v>
      </c>
      <c r="E26" s="2" t="s">
        <v>200</v>
      </c>
      <c r="F26" s="2" t="s">
        <v>201</v>
      </c>
      <c r="G26" s="2" t="s">
        <v>202</v>
      </c>
      <c r="H26" s="2" t="s">
        <v>203</v>
      </c>
      <c r="I26" s="2" t="s">
        <v>198</v>
      </c>
      <c r="J26" s="2" t="s">
        <v>204</v>
      </c>
      <c r="K26" s="2" t="s">
        <v>20</v>
      </c>
      <c r="L26" s="2" t="s">
        <v>12</v>
      </c>
      <c r="M26" s="11" t="s">
        <v>366</v>
      </c>
      <c r="N26" s="11" t="s">
        <v>367</v>
      </c>
      <c r="O26" s="11" t="s">
        <v>382</v>
      </c>
      <c r="P26" s="12" t="str">
        <f t="shared" si="1"/>
        <v/>
      </c>
      <c r="Q26" s="20" t="str">
        <f t="shared" si="2"/>
        <v/>
      </c>
      <c r="R26" s="13" t="s">
        <v>436</v>
      </c>
    </row>
    <row r="27" spans="1:18" ht="30">
      <c r="A27" s="9" t="str">
        <f t="shared" ca="1" si="0"/>
        <v>OPEN</v>
      </c>
      <c r="B27" s="3">
        <v>46419</v>
      </c>
      <c r="C27" s="2" t="s">
        <v>12</v>
      </c>
      <c r="D27" s="2" t="s">
        <v>205</v>
      </c>
      <c r="E27" s="2" t="s">
        <v>206</v>
      </c>
      <c r="F27" s="2" t="s">
        <v>207</v>
      </c>
      <c r="G27" s="2" t="s">
        <v>208</v>
      </c>
      <c r="H27" s="2" t="s">
        <v>209</v>
      </c>
      <c r="I27" s="2" t="s">
        <v>210</v>
      </c>
      <c r="J27" s="2" t="s">
        <v>211</v>
      </c>
      <c r="K27" s="2" t="s">
        <v>20</v>
      </c>
      <c r="L27" s="2" t="s">
        <v>12</v>
      </c>
      <c r="M27" s="11" t="s">
        <v>366</v>
      </c>
      <c r="N27" s="11" t="s">
        <v>367</v>
      </c>
      <c r="O27" s="11" t="s">
        <v>382</v>
      </c>
      <c r="P27" s="12" t="str">
        <f t="shared" si="1"/>
        <v/>
      </c>
      <c r="Q27" s="20" t="str">
        <f t="shared" si="2"/>
        <v/>
      </c>
      <c r="R27" s="13" t="s">
        <v>436</v>
      </c>
    </row>
    <row r="28" spans="1:18" ht="45">
      <c r="A28" s="9" t="str">
        <f t="shared" ca="1" si="0"/>
        <v>OPEN</v>
      </c>
      <c r="B28" s="3" t="s">
        <v>212</v>
      </c>
      <c r="C28" s="2" t="s">
        <v>213</v>
      </c>
      <c r="D28" s="2" t="s">
        <v>214</v>
      </c>
      <c r="E28" s="2" t="s">
        <v>215</v>
      </c>
      <c r="F28" s="2" t="s">
        <v>216</v>
      </c>
      <c r="G28" s="2" t="s">
        <v>217</v>
      </c>
      <c r="H28" s="2" t="s">
        <v>218</v>
      </c>
      <c r="I28" s="2" t="s">
        <v>219</v>
      </c>
      <c r="J28" s="2" t="s">
        <v>220</v>
      </c>
      <c r="K28" s="2" t="s">
        <v>221</v>
      </c>
      <c r="L28" s="2" t="s">
        <v>124</v>
      </c>
      <c r="M28" s="11" t="s">
        <v>366</v>
      </c>
      <c r="N28" s="11" t="s">
        <v>367</v>
      </c>
      <c r="O28" s="11" t="s">
        <v>382</v>
      </c>
      <c r="P28" s="12" t="str">
        <f t="shared" si="1"/>
        <v/>
      </c>
      <c r="Q28" s="20" t="str">
        <f t="shared" si="2"/>
        <v/>
      </c>
      <c r="R28" s="13" t="s">
        <v>436</v>
      </c>
    </row>
    <row r="29" spans="1:18" ht="45">
      <c r="A29" s="9" t="str">
        <f t="shared" ca="1" si="0"/>
        <v>OPEN</v>
      </c>
      <c r="B29" s="3" t="s">
        <v>212</v>
      </c>
      <c r="C29" s="2" t="s">
        <v>222</v>
      </c>
      <c r="D29" s="2" t="s">
        <v>223</v>
      </c>
      <c r="E29" s="2" t="s">
        <v>85</v>
      </c>
      <c r="F29" s="2" t="s">
        <v>224</v>
      </c>
      <c r="G29" s="2" t="s">
        <v>225</v>
      </c>
      <c r="H29" s="2" t="s">
        <v>226</v>
      </c>
      <c r="I29" s="2" t="s">
        <v>227</v>
      </c>
      <c r="J29" s="2" t="s">
        <v>228</v>
      </c>
      <c r="K29" s="2" t="s">
        <v>229</v>
      </c>
      <c r="L29" s="2" t="s">
        <v>230</v>
      </c>
      <c r="M29" s="11" t="s">
        <v>366</v>
      </c>
      <c r="N29" s="11" t="s">
        <v>367</v>
      </c>
      <c r="O29" s="11" t="s">
        <v>382</v>
      </c>
      <c r="P29" s="12" t="str">
        <f t="shared" si="1"/>
        <v/>
      </c>
      <c r="Q29" s="20" t="str">
        <f t="shared" si="2"/>
        <v/>
      </c>
      <c r="R29" s="13" t="s">
        <v>436</v>
      </c>
    </row>
    <row r="30" spans="1:18" ht="30">
      <c r="A30" s="9" t="str">
        <f t="shared" ca="1" si="0"/>
        <v>OPEN</v>
      </c>
      <c r="B30" s="3" t="s">
        <v>212</v>
      </c>
      <c r="C30" s="2" t="s">
        <v>222</v>
      </c>
      <c r="D30" s="2" t="s">
        <v>231</v>
      </c>
      <c r="E30" s="2" t="s">
        <v>85</v>
      </c>
      <c r="F30" s="2" t="s">
        <v>232</v>
      </c>
      <c r="G30" s="2" t="s">
        <v>233</v>
      </c>
      <c r="H30" s="2" t="s">
        <v>234</v>
      </c>
      <c r="I30" s="2" t="s">
        <v>235</v>
      </c>
      <c r="J30" s="2" t="s">
        <v>236</v>
      </c>
      <c r="K30" s="2" t="s">
        <v>237</v>
      </c>
      <c r="L30" s="2" t="s">
        <v>230</v>
      </c>
      <c r="M30" s="11" t="s">
        <v>366</v>
      </c>
      <c r="N30" s="11" t="s">
        <v>367</v>
      </c>
      <c r="O30" s="11" t="s">
        <v>382</v>
      </c>
      <c r="P30" s="12" t="str">
        <f t="shared" si="1"/>
        <v/>
      </c>
      <c r="Q30" s="20" t="str">
        <f t="shared" si="2"/>
        <v/>
      </c>
      <c r="R30" s="13" t="s">
        <v>436</v>
      </c>
    </row>
    <row r="31" spans="1:18" ht="30">
      <c r="A31" s="9" t="str">
        <f t="shared" ca="1" si="0"/>
        <v>OPEN</v>
      </c>
      <c r="B31" s="3" t="s">
        <v>212</v>
      </c>
      <c r="C31" s="2" t="s">
        <v>222</v>
      </c>
      <c r="D31" s="2" t="s">
        <v>238</v>
      </c>
      <c r="E31" s="2" t="s">
        <v>239</v>
      </c>
      <c r="F31" s="2" t="s">
        <v>240</v>
      </c>
      <c r="G31" s="2" t="s">
        <v>241</v>
      </c>
      <c r="H31" s="2" t="s">
        <v>242</v>
      </c>
      <c r="I31" s="2" t="s">
        <v>58</v>
      </c>
      <c r="J31" s="2" t="s">
        <v>228</v>
      </c>
      <c r="K31" s="2" t="s">
        <v>243</v>
      </c>
      <c r="L31" s="2" t="s">
        <v>230</v>
      </c>
      <c r="M31" s="11" t="s">
        <v>366</v>
      </c>
      <c r="N31" s="11" t="s">
        <v>367</v>
      </c>
      <c r="O31" s="11" t="s">
        <v>382</v>
      </c>
      <c r="P31" s="12" t="str">
        <f t="shared" si="1"/>
        <v/>
      </c>
      <c r="Q31" s="20" t="str">
        <f t="shared" si="2"/>
        <v/>
      </c>
      <c r="R31" s="13" t="s">
        <v>436</v>
      </c>
    </row>
    <row r="32" spans="1:18" ht="45">
      <c r="A32" s="9" t="str">
        <f t="shared" ca="1" si="0"/>
        <v>OPEN</v>
      </c>
      <c r="B32" s="3" t="s">
        <v>212</v>
      </c>
      <c r="C32" s="2" t="s">
        <v>222</v>
      </c>
      <c r="D32" s="2" t="s">
        <v>244</v>
      </c>
      <c r="E32" s="2" t="s">
        <v>32</v>
      </c>
      <c r="F32" s="2" t="s">
        <v>245</v>
      </c>
      <c r="G32" s="2" t="s">
        <v>246</v>
      </c>
      <c r="H32" s="2" t="s">
        <v>247</v>
      </c>
      <c r="I32" s="2" t="s">
        <v>36</v>
      </c>
      <c r="J32" s="2" t="s">
        <v>248</v>
      </c>
      <c r="K32" s="2" t="s">
        <v>249</v>
      </c>
      <c r="L32" s="2" t="s">
        <v>230</v>
      </c>
      <c r="M32" s="11" t="s">
        <v>366</v>
      </c>
      <c r="N32" s="11" t="s">
        <v>367</v>
      </c>
      <c r="O32" s="11" t="s">
        <v>382</v>
      </c>
      <c r="P32" s="12" t="str">
        <f t="shared" si="1"/>
        <v/>
      </c>
      <c r="Q32" s="20" t="str">
        <f t="shared" si="2"/>
        <v/>
      </c>
      <c r="R32" s="13" t="s">
        <v>436</v>
      </c>
    </row>
    <row r="33" spans="1:18" ht="60">
      <c r="A33" s="10" t="str">
        <f t="shared" ca="1" si="0"/>
        <v>FORTHCOMING</v>
      </c>
      <c r="B33" s="3" t="s">
        <v>250</v>
      </c>
      <c r="C33" s="2" t="s">
        <v>134</v>
      </c>
      <c r="D33" s="2" t="s">
        <v>251</v>
      </c>
      <c r="E33" s="2" t="s">
        <v>85</v>
      </c>
      <c r="F33" s="2" t="s">
        <v>252</v>
      </c>
      <c r="G33" s="2" t="s">
        <v>253</v>
      </c>
      <c r="H33" s="2" t="s">
        <v>254</v>
      </c>
      <c r="I33" s="2" t="s">
        <v>255</v>
      </c>
      <c r="J33" s="2" t="s">
        <v>256</v>
      </c>
      <c r="K33" s="2" t="s">
        <v>257</v>
      </c>
      <c r="L33" s="2" t="s">
        <v>258</v>
      </c>
      <c r="M33" s="11" t="s">
        <v>366</v>
      </c>
      <c r="N33" s="11" t="s">
        <v>368</v>
      </c>
      <c r="O33" s="11" t="s">
        <v>382</v>
      </c>
      <c r="P33" s="12" t="str">
        <f t="shared" si="1"/>
        <v/>
      </c>
      <c r="Q33" s="20" t="str">
        <f t="shared" si="2"/>
        <v/>
      </c>
      <c r="R33" s="13" t="s">
        <v>436</v>
      </c>
    </row>
    <row r="34" spans="1:18" ht="45">
      <c r="A34" s="10" t="str">
        <f t="shared" ca="1" si="0"/>
        <v>FORTHCOMING</v>
      </c>
      <c r="B34" s="3" t="s">
        <v>259</v>
      </c>
      <c r="C34" s="2" t="s">
        <v>260</v>
      </c>
      <c r="D34" s="2" t="s">
        <v>261</v>
      </c>
      <c r="E34" s="2" t="s">
        <v>262</v>
      </c>
      <c r="F34" s="2" t="s">
        <v>263</v>
      </c>
      <c r="G34" s="2" t="s">
        <v>264</v>
      </c>
      <c r="H34" s="2" t="s">
        <v>265</v>
      </c>
      <c r="I34" s="2" t="s">
        <v>266</v>
      </c>
      <c r="J34" s="2" t="s">
        <v>267</v>
      </c>
      <c r="K34" s="2" t="s">
        <v>257</v>
      </c>
      <c r="L34" s="2" t="s">
        <v>258</v>
      </c>
      <c r="M34" s="11" t="s">
        <v>366</v>
      </c>
      <c r="N34" s="11" t="s">
        <v>368</v>
      </c>
      <c r="O34" s="11" t="s">
        <v>382</v>
      </c>
      <c r="P34" s="12" t="str">
        <f t="shared" si="1"/>
        <v/>
      </c>
      <c r="Q34" s="20" t="str">
        <f t="shared" si="2"/>
        <v/>
      </c>
      <c r="R34" s="13" t="s">
        <v>436</v>
      </c>
    </row>
    <row r="35" spans="1:18" ht="30">
      <c r="A35" s="10" t="str">
        <f t="shared" ca="1" si="0"/>
        <v>FORTHCOMING</v>
      </c>
      <c r="B35" s="3" t="s">
        <v>259</v>
      </c>
      <c r="C35" s="2" t="s">
        <v>142</v>
      </c>
      <c r="D35" s="2" t="s">
        <v>268</v>
      </c>
      <c r="E35" s="2" t="s">
        <v>269</v>
      </c>
      <c r="F35" s="2" t="s">
        <v>270</v>
      </c>
      <c r="G35" s="2" t="s">
        <v>271</v>
      </c>
      <c r="H35" s="2" t="s">
        <v>272</v>
      </c>
      <c r="I35" s="2" t="s">
        <v>273</v>
      </c>
      <c r="J35" s="2" t="s">
        <v>274</v>
      </c>
      <c r="K35" s="2" t="s">
        <v>257</v>
      </c>
      <c r="L35" s="2" t="s">
        <v>258</v>
      </c>
      <c r="M35" s="11" t="s">
        <v>366</v>
      </c>
      <c r="N35" s="11" t="s">
        <v>368</v>
      </c>
      <c r="O35" s="11" t="s">
        <v>382</v>
      </c>
      <c r="P35" s="12" t="str">
        <f t="shared" si="1"/>
        <v/>
      </c>
      <c r="Q35" s="20" t="str">
        <f t="shared" si="2"/>
        <v/>
      </c>
      <c r="R35" s="13" t="s">
        <v>436</v>
      </c>
    </row>
    <row r="36" spans="1:18" ht="30">
      <c r="A36" s="10" t="str">
        <f t="shared" ca="1" si="0"/>
        <v>FORTHCOMING</v>
      </c>
      <c r="B36" s="3" t="s">
        <v>275</v>
      </c>
      <c r="C36" s="2" t="s">
        <v>134</v>
      </c>
      <c r="D36" s="2" t="s">
        <v>276</v>
      </c>
      <c r="E36" s="2" t="s">
        <v>277</v>
      </c>
      <c r="F36" s="2" t="s">
        <v>278</v>
      </c>
      <c r="G36" s="2" t="s">
        <v>279</v>
      </c>
      <c r="H36" s="2" t="s">
        <v>280</v>
      </c>
      <c r="I36" s="2" t="s">
        <v>281</v>
      </c>
      <c r="J36" s="2" t="s">
        <v>282</v>
      </c>
      <c r="K36" s="2" t="s">
        <v>257</v>
      </c>
      <c r="L36" s="2" t="s">
        <v>258</v>
      </c>
      <c r="M36" s="11" t="s">
        <v>366</v>
      </c>
      <c r="N36" s="11" t="s">
        <v>368</v>
      </c>
      <c r="O36" s="11" t="s">
        <v>382</v>
      </c>
      <c r="P36" s="12" t="str">
        <f t="shared" si="1"/>
        <v/>
      </c>
      <c r="Q36" s="20" t="str">
        <f t="shared" si="2"/>
        <v/>
      </c>
      <c r="R36" s="13" t="s">
        <v>436</v>
      </c>
    </row>
    <row r="37" spans="1:18" ht="30">
      <c r="A37" s="10" t="str">
        <f t="shared" ca="1" si="0"/>
        <v>FORTHCOMING</v>
      </c>
      <c r="B37" s="3" t="s">
        <v>275</v>
      </c>
      <c r="C37" s="2" t="s">
        <v>283</v>
      </c>
      <c r="D37" s="2" t="s">
        <v>284</v>
      </c>
      <c r="E37" s="2" t="s">
        <v>285</v>
      </c>
      <c r="F37" s="2" t="s">
        <v>286</v>
      </c>
      <c r="G37" s="2" t="s">
        <v>287</v>
      </c>
      <c r="H37" s="2" t="s">
        <v>288</v>
      </c>
      <c r="I37" s="2" t="s">
        <v>289</v>
      </c>
      <c r="J37" s="2" t="s">
        <v>290</v>
      </c>
      <c r="K37" s="2" t="s">
        <v>257</v>
      </c>
      <c r="L37" s="2" t="s">
        <v>258</v>
      </c>
      <c r="M37" s="11" t="s">
        <v>366</v>
      </c>
      <c r="N37" s="11" t="s">
        <v>368</v>
      </c>
      <c r="O37" s="11" t="s">
        <v>382</v>
      </c>
      <c r="P37" s="12" t="str">
        <f t="shared" si="1"/>
        <v/>
      </c>
      <c r="Q37" s="20" t="str">
        <f t="shared" si="2"/>
        <v/>
      </c>
      <c r="R37" s="13" t="s">
        <v>436</v>
      </c>
    </row>
    <row r="38" spans="1:18" ht="30">
      <c r="A38" s="10" t="str">
        <f t="shared" ca="1" si="0"/>
        <v>FORTHCOMING</v>
      </c>
      <c r="B38" s="3" t="s">
        <v>291</v>
      </c>
      <c r="C38" s="2" t="s">
        <v>134</v>
      </c>
      <c r="D38" s="2" t="s">
        <v>292</v>
      </c>
      <c r="E38" s="2" t="s">
        <v>293</v>
      </c>
      <c r="F38" s="2" t="s">
        <v>294</v>
      </c>
      <c r="G38" s="2" t="s">
        <v>295</v>
      </c>
      <c r="H38" s="2" t="s">
        <v>296</v>
      </c>
      <c r="I38" s="2" t="s">
        <v>297</v>
      </c>
      <c r="J38" s="2" t="s">
        <v>298</v>
      </c>
      <c r="K38" s="2" t="s">
        <v>257</v>
      </c>
      <c r="L38" s="2" t="s">
        <v>258</v>
      </c>
      <c r="M38" s="11" t="s">
        <v>366</v>
      </c>
      <c r="N38" s="11" t="s">
        <v>368</v>
      </c>
      <c r="O38" s="11" t="s">
        <v>382</v>
      </c>
      <c r="P38" s="12" t="str">
        <f t="shared" si="1"/>
        <v/>
      </c>
      <c r="Q38" s="20" t="str">
        <f t="shared" si="2"/>
        <v/>
      </c>
      <c r="R38" s="13" t="s">
        <v>436</v>
      </c>
    </row>
    <row r="39" spans="1:18" ht="30">
      <c r="A39" s="10" t="str">
        <f t="shared" ca="1" si="0"/>
        <v>FORTHCOMING</v>
      </c>
      <c r="B39" s="3" t="s">
        <v>291</v>
      </c>
      <c r="C39" s="2" t="s">
        <v>134</v>
      </c>
      <c r="D39" s="2" t="s">
        <v>299</v>
      </c>
      <c r="E39" s="2" t="s">
        <v>23</v>
      </c>
      <c r="F39" s="2" t="s">
        <v>300</v>
      </c>
      <c r="G39" s="2" t="s">
        <v>301</v>
      </c>
      <c r="H39" s="2" t="s">
        <v>302</v>
      </c>
      <c r="I39" s="2" t="s">
        <v>303</v>
      </c>
      <c r="J39" s="2" t="s">
        <v>304</v>
      </c>
      <c r="K39" s="2" t="s">
        <v>257</v>
      </c>
      <c r="L39" s="2" t="s">
        <v>258</v>
      </c>
      <c r="M39" s="11" t="s">
        <v>366</v>
      </c>
      <c r="N39" s="11" t="s">
        <v>368</v>
      </c>
      <c r="O39" s="11" t="s">
        <v>382</v>
      </c>
      <c r="P39" s="12" t="str">
        <f t="shared" si="1"/>
        <v/>
      </c>
      <c r="Q39" s="20" t="str">
        <f t="shared" si="2"/>
        <v/>
      </c>
      <c r="R39" s="13" t="s">
        <v>436</v>
      </c>
    </row>
    <row r="40" spans="1:18" ht="30">
      <c r="A40" s="10" t="str">
        <f t="shared" ca="1" si="0"/>
        <v>FORTHCOMING</v>
      </c>
      <c r="B40" s="3" t="s">
        <v>305</v>
      </c>
      <c r="C40" s="2" t="s">
        <v>134</v>
      </c>
      <c r="D40" s="2" t="s">
        <v>306</v>
      </c>
      <c r="E40" s="2" t="s">
        <v>32</v>
      </c>
      <c r="F40" s="2" t="s">
        <v>307</v>
      </c>
      <c r="G40" s="2" t="s">
        <v>308</v>
      </c>
      <c r="H40" s="2" t="s">
        <v>309</v>
      </c>
      <c r="I40" s="2" t="s">
        <v>310</v>
      </c>
      <c r="J40" s="2" t="s">
        <v>311</v>
      </c>
      <c r="K40" s="2" t="s">
        <v>257</v>
      </c>
      <c r="L40" s="2" t="s">
        <v>258</v>
      </c>
      <c r="M40" s="11" t="s">
        <v>366</v>
      </c>
      <c r="N40" s="11" t="s">
        <v>368</v>
      </c>
      <c r="O40" s="11" t="s">
        <v>382</v>
      </c>
      <c r="P40" s="12" t="str">
        <f t="shared" si="1"/>
        <v/>
      </c>
      <c r="Q40" s="20" t="str">
        <f t="shared" si="2"/>
        <v/>
      </c>
      <c r="R40" s="13" t="s">
        <v>436</v>
      </c>
    </row>
    <row r="41" spans="1:18" ht="45">
      <c r="A41" s="8" t="str">
        <f t="shared" ca="1" si="0"/>
        <v>DEADLINE PASSED</v>
      </c>
      <c r="B41" s="3">
        <v>46283</v>
      </c>
      <c r="C41" s="2" t="s">
        <v>312</v>
      </c>
      <c r="D41" s="2" t="s">
        <v>313</v>
      </c>
      <c r="E41" s="2" t="s">
        <v>314</v>
      </c>
      <c r="F41" s="2" t="s">
        <v>315</v>
      </c>
      <c r="G41" s="2" t="s">
        <v>316</v>
      </c>
      <c r="H41" s="2" t="s">
        <v>317</v>
      </c>
      <c r="I41" s="2" t="s">
        <v>318</v>
      </c>
      <c r="J41" s="2" t="s">
        <v>319</v>
      </c>
      <c r="K41" s="2" t="s">
        <v>320</v>
      </c>
      <c r="L41" s="2" t="s">
        <v>124</v>
      </c>
      <c r="M41" s="11" t="s">
        <v>366</v>
      </c>
      <c r="N41" s="11" t="s">
        <v>369</v>
      </c>
      <c r="O41" s="11" t="s">
        <v>382</v>
      </c>
      <c r="P41" s="12" t="str">
        <f t="shared" si="1"/>
        <v/>
      </c>
      <c r="Q41" s="20" t="str">
        <f t="shared" si="2"/>
        <v/>
      </c>
      <c r="R41" s="13" t="s">
        <v>436</v>
      </c>
    </row>
    <row r="42" spans="1:18" ht="45">
      <c r="A42" s="8" t="str">
        <f t="shared" ca="1" si="0"/>
        <v>DEADLINE PASSED</v>
      </c>
      <c r="B42" s="3">
        <v>46286</v>
      </c>
      <c r="C42" s="2" t="s">
        <v>321</v>
      </c>
      <c r="D42" s="2" t="s">
        <v>322</v>
      </c>
      <c r="E42" s="2" t="s">
        <v>323</v>
      </c>
      <c r="F42" s="2" t="s">
        <v>324</v>
      </c>
      <c r="G42" s="2" t="s">
        <v>325</v>
      </c>
      <c r="H42" s="2" t="s">
        <v>326</v>
      </c>
      <c r="I42" s="2" t="s">
        <v>327</v>
      </c>
      <c r="J42" s="2" t="s">
        <v>328</v>
      </c>
      <c r="K42" s="2" t="s">
        <v>329</v>
      </c>
      <c r="L42" s="2" t="s">
        <v>124</v>
      </c>
      <c r="M42" s="11" t="s">
        <v>366</v>
      </c>
      <c r="N42" s="11" t="s">
        <v>370</v>
      </c>
      <c r="O42" s="11" t="s">
        <v>382</v>
      </c>
      <c r="P42" s="12" t="str">
        <f t="shared" si="1"/>
        <v/>
      </c>
      <c r="Q42" s="20" t="str">
        <f t="shared" si="2"/>
        <v/>
      </c>
      <c r="R42" s="13" t="s">
        <v>436</v>
      </c>
    </row>
    <row r="43" spans="1:18" ht="45">
      <c r="A43" s="18" t="str">
        <f t="shared" ref="A43:A51" ca="1" si="3">IF(AND(ISNUMBER(B43),B43&lt;TODAY()),"DEADLINE PASSED",N43)</f>
        <v>CLOSED – monitor recurrence</v>
      </c>
      <c r="B43" t="s">
        <v>371</v>
      </c>
      <c r="C43" t="s">
        <v>312</v>
      </c>
      <c r="D43" t="s">
        <v>372</v>
      </c>
      <c r="E43" t="s">
        <v>373</v>
      </c>
      <c r="F43" s="2" t="s">
        <v>374</v>
      </c>
      <c r="G43" s="2" t="s">
        <v>375</v>
      </c>
      <c r="H43" s="2" t="s">
        <v>376</v>
      </c>
      <c r="I43" s="2" t="s">
        <v>377</v>
      </c>
      <c r="J43" s="2" t="s">
        <v>378</v>
      </c>
      <c r="K43" s="2" t="s">
        <v>379</v>
      </c>
      <c r="L43" t="s">
        <v>380</v>
      </c>
      <c r="M43" s="16" t="s">
        <v>381</v>
      </c>
      <c r="N43" s="16" t="s">
        <v>369</v>
      </c>
      <c r="O43" s="11" t="s">
        <v>382</v>
      </c>
      <c r="P43" s="17" t="str">
        <f t="shared" ref="P43:P49" si="4">IF(O43&lt;&gt;"Yes","","New funding opportunity added: "&amp;D43)</f>
        <v/>
      </c>
      <c r="Q43" s="20" t="str">
        <f t="shared" si="2"/>
        <v/>
      </c>
      <c r="R43" s="13" t="s">
        <v>436</v>
      </c>
    </row>
    <row r="44" spans="1:18" ht="45">
      <c r="A44" s="18" t="str">
        <f t="shared" ca="1" si="3"/>
        <v>CLOSED – monitor recurrence</v>
      </c>
      <c r="B44" t="s">
        <v>371</v>
      </c>
      <c r="C44" t="s">
        <v>312</v>
      </c>
      <c r="D44" t="s">
        <v>383</v>
      </c>
      <c r="E44" t="s">
        <v>384</v>
      </c>
      <c r="F44" s="2" t="s">
        <v>374</v>
      </c>
      <c r="G44" s="2" t="s">
        <v>385</v>
      </c>
      <c r="H44" s="2" t="s">
        <v>386</v>
      </c>
      <c r="I44" s="2" t="s">
        <v>387</v>
      </c>
      <c r="J44" s="2" t="s">
        <v>378</v>
      </c>
      <c r="K44" s="2" t="s">
        <v>379</v>
      </c>
      <c r="L44" t="s">
        <v>380</v>
      </c>
      <c r="M44" s="16" t="s">
        <v>381</v>
      </c>
      <c r="N44" s="16" t="s">
        <v>369</v>
      </c>
      <c r="O44" s="11" t="s">
        <v>382</v>
      </c>
      <c r="P44" s="17" t="str">
        <f t="shared" si="4"/>
        <v/>
      </c>
      <c r="Q44" s="20" t="str">
        <f t="shared" si="2"/>
        <v/>
      </c>
      <c r="R44" s="13" t="s">
        <v>436</v>
      </c>
    </row>
    <row r="45" spans="1:18" ht="45">
      <c r="A45" s="18" t="str">
        <f t="shared" ca="1" si="3"/>
        <v>CLOSED – monitor recurrence</v>
      </c>
      <c r="B45" t="s">
        <v>388</v>
      </c>
      <c r="C45" t="s">
        <v>312</v>
      </c>
      <c r="D45" t="s">
        <v>389</v>
      </c>
      <c r="E45" t="s">
        <v>390</v>
      </c>
      <c r="F45" s="2" t="s">
        <v>391</v>
      </c>
      <c r="G45" s="2" t="s">
        <v>392</v>
      </c>
      <c r="H45" s="2" t="s">
        <v>393</v>
      </c>
      <c r="I45" s="2" t="s">
        <v>394</v>
      </c>
      <c r="J45" s="2" t="s">
        <v>395</v>
      </c>
      <c r="K45" s="2" t="s">
        <v>379</v>
      </c>
      <c r="L45" t="s">
        <v>380</v>
      </c>
      <c r="M45" s="16" t="s">
        <v>381</v>
      </c>
      <c r="N45" s="16" t="s">
        <v>369</v>
      </c>
      <c r="O45" s="11" t="s">
        <v>382</v>
      </c>
      <c r="P45" s="17" t="str">
        <f t="shared" si="4"/>
        <v/>
      </c>
      <c r="Q45" s="20" t="str">
        <f t="shared" si="2"/>
        <v/>
      </c>
      <c r="R45" s="13" t="s">
        <v>436</v>
      </c>
    </row>
    <row r="46" spans="1:18" ht="60">
      <c r="A46" s="19" t="str">
        <f t="shared" ca="1" si="3"/>
        <v>FORTHCOMING</v>
      </c>
      <c r="B46" t="s">
        <v>396</v>
      </c>
      <c r="C46" t="s">
        <v>397</v>
      </c>
      <c r="D46" t="s">
        <v>398</v>
      </c>
      <c r="E46" t="s">
        <v>399</v>
      </c>
      <c r="F46" s="2" t="s">
        <v>400</v>
      </c>
      <c r="G46" s="2" t="s">
        <v>401</v>
      </c>
      <c r="H46" s="2" t="s">
        <v>402</v>
      </c>
      <c r="I46" s="2" t="s">
        <v>403</v>
      </c>
      <c r="J46" s="2" t="s">
        <v>404</v>
      </c>
      <c r="K46" s="2" t="s">
        <v>405</v>
      </c>
      <c r="L46" t="s">
        <v>12</v>
      </c>
      <c r="M46" s="16" t="s">
        <v>381</v>
      </c>
      <c r="N46" s="16" t="s">
        <v>368</v>
      </c>
      <c r="O46" s="11" t="s">
        <v>382</v>
      </c>
      <c r="P46" s="17" t="str">
        <f t="shared" si="4"/>
        <v/>
      </c>
      <c r="Q46" s="20" t="str">
        <f t="shared" si="2"/>
        <v/>
      </c>
      <c r="R46" s="13" t="s">
        <v>436</v>
      </c>
    </row>
    <row r="47" spans="1:18" ht="60">
      <c r="A47" s="19" t="str">
        <f t="shared" ca="1" si="3"/>
        <v>FORTHCOMING</v>
      </c>
      <c r="B47" t="s">
        <v>396</v>
      </c>
      <c r="C47" t="s">
        <v>397</v>
      </c>
      <c r="D47" t="s">
        <v>406</v>
      </c>
      <c r="E47" t="s">
        <v>407</v>
      </c>
      <c r="F47" s="2" t="s">
        <v>408</v>
      </c>
      <c r="G47" s="2" t="s">
        <v>409</v>
      </c>
      <c r="H47" s="2" t="s">
        <v>410</v>
      </c>
      <c r="I47" s="2" t="s">
        <v>411</v>
      </c>
      <c r="J47" s="2" t="s">
        <v>412</v>
      </c>
      <c r="K47" s="2" t="s">
        <v>413</v>
      </c>
      <c r="L47" t="s">
        <v>12</v>
      </c>
      <c r="M47" s="16" t="s">
        <v>381</v>
      </c>
      <c r="N47" s="16" t="s">
        <v>368</v>
      </c>
      <c r="O47" s="11" t="s">
        <v>382</v>
      </c>
      <c r="P47" s="17" t="str">
        <f t="shared" si="4"/>
        <v/>
      </c>
      <c r="Q47" s="20" t="str">
        <f t="shared" si="2"/>
        <v/>
      </c>
      <c r="R47" s="13" t="s">
        <v>436</v>
      </c>
    </row>
    <row r="48" spans="1:18" ht="60">
      <c r="A48" s="19" t="str">
        <f t="shared" ca="1" si="3"/>
        <v>FORTHCOMING</v>
      </c>
      <c r="B48" t="s">
        <v>396</v>
      </c>
      <c r="C48" t="s">
        <v>397</v>
      </c>
      <c r="D48" t="s">
        <v>414</v>
      </c>
      <c r="E48" t="s">
        <v>415</v>
      </c>
      <c r="F48" s="2" t="s">
        <v>416</v>
      </c>
      <c r="G48" s="2" t="s">
        <v>417</v>
      </c>
      <c r="H48" s="2" t="s">
        <v>418</v>
      </c>
      <c r="I48" s="2" t="s">
        <v>419</v>
      </c>
      <c r="J48" s="2" t="s">
        <v>420</v>
      </c>
      <c r="K48" s="2" t="s">
        <v>421</v>
      </c>
      <c r="L48" t="s">
        <v>12</v>
      </c>
      <c r="M48" s="16" t="s">
        <v>381</v>
      </c>
      <c r="N48" s="16" t="s">
        <v>368</v>
      </c>
      <c r="O48" s="11" t="s">
        <v>382</v>
      </c>
      <c r="P48" s="17" t="str">
        <f t="shared" si="4"/>
        <v/>
      </c>
      <c r="Q48" s="20" t="str">
        <f t="shared" si="2"/>
        <v/>
      </c>
      <c r="R48" s="13" t="s">
        <v>436</v>
      </c>
    </row>
    <row r="49" spans="1:18" ht="60">
      <c r="A49" s="18" t="str">
        <f t="shared" ca="1" si="3"/>
        <v>CLOSED – monitor recurrence</v>
      </c>
      <c r="B49" t="s">
        <v>371</v>
      </c>
      <c r="C49" t="s">
        <v>422</v>
      </c>
      <c r="D49" t="s">
        <v>423</v>
      </c>
      <c r="E49" t="s">
        <v>424</v>
      </c>
      <c r="F49" s="2" t="s">
        <v>425</v>
      </c>
      <c r="G49" s="2" t="s">
        <v>426</v>
      </c>
      <c r="H49" s="2" t="s">
        <v>427</v>
      </c>
      <c r="I49" s="2" t="s">
        <v>428</v>
      </c>
      <c r="J49" s="2" t="s">
        <v>429</v>
      </c>
      <c r="K49" s="2" t="s">
        <v>430</v>
      </c>
      <c r="L49" t="s">
        <v>431</v>
      </c>
      <c r="M49" s="16" t="s">
        <v>381</v>
      </c>
      <c r="N49" s="16" t="s">
        <v>369</v>
      </c>
      <c r="O49" s="11" t="s">
        <v>382</v>
      </c>
      <c r="P49" s="17" t="str">
        <f t="shared" si="4"/>
        <v/>
      </c>
      <c r="Q49" s="20" t="str">
        <f t="shared" si="2"/>
        <v/>
      </c>
      <c r="R49" s="13" t="s">
        <v>436</v>
      </c>
    </row>
    <row r="50" spans="1:18" ht="60">
      <c r="A50" s="8" t="str">
        <f t="shared" ca="1" si="3"/>
        <v>OPEN</v>
      </c>
      <c r="B50" s="3">
        <v>46362</v>
      </c>
      <c r="C50" t="s">
        <v>437</v>
      </c>
      <c r="D50" t="s">
        <v>438</v>
      </c>
      <c r="E50" t="s">
        <v>439</v>
      </c>
      <c r="F50" s="2" t="s">
        <v>440</v>
      </c>
      <c r="G50" s="2" t="s">
        <v>441</v>
      </c>
      <c r="H50" s="2" t="s">
        <v>442</v>
      </c>
      <c r="I50" s="2" t="s">
        <v>443</v>
      </c>
      <c r="J50" s="2" t="s">
        <v>444</v>
      </c>
      <c r="K50" s="21" t="s">
        <v>445</v>
      </c>
      <c r="L50" t="s">
        <v>446</v>
      </c>
      <c r="M50" s="11" t="s">
        <v>366</v>
      </c>
      <c r="N50" s="11" t="s">
        <v>367</v>
      </c>
      <c r="O50" s="11" t="s">
        <v>435</v>
      </c>
      <c r="P50" s="17" t="str">
        <f t="shared" ref="P50" si="5">IF(O50&lt;&gt;"Yes","","New funding opportunity added: "&amp;D50)</f>
        <v>New funding opportunity added: Venture Scientist 100</v>
      </c>
      <c r="Q50" s="20" t="str">
        <f t="shared" ref="Q50" si="6">IF(O50&lt;&gt;"Yes","","Hello,"&amp;CHAR(10)&amp;CHAR(10)&amp;"A new funding opportunity has been added to the Funding Finder for Statistics."&amp;CHAR(10)&amp;CHAR(10)&amp;"**"&amp;D50&amp;"**"&amp;CHAR(10)&amp;CHAR(10)&amp;"Funder: "&amp;C50&amp;CHAR(10)&amp;"Deadline: "&amp;IF(ISNUMBER(B50),TEXT(B50,"d mmmm yyyy"),B50)&amp;CHAR(10)&amp;"Funding and duration: "&amp;F50&amp;CHAR(10)&amp;CHAR(10)&amp;"Who can apply: "&amp;G50&amp;CHAR(10)&amp;CHAR(10)&amp;"Why it may be relevant to Statistics: "&amp;H50&amp;CHAR(10)&amp;CHAR(10)&amp;"Themes: "&amp;I50&amp;CHAR(10)&amp;CHAR(10)&amp;"Official opportunity: "&amp;K50&amp;CHAR(10)&amp;CHAR(10)&amp;"Funding Finder: "&amp;"https://uofgstats.github.io/research-and-scholarship/"&amp;CHAR(10)&amp;CHAR(10)&amp;"Please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 &amp; Vinny"&amp;CHAR(10)&amp;"Research Lead for Statistics")</f>
        <v>Hello,
A new funding opportunity has been added to the Funding Finder for Statistics.
**Venture Scientist 100**
Funder: Conception X
Deadline: 6 December 2026
Funding and duration: Free 9-month part-time venture-building fellowship (Mar–Nov 2027); selected teams can access up to £300k equity investment
Who can apply: PhD students at UK/European universities working on innovative technology based on their research; exceptional recent PhD graduates, postdocs and ECRs may also be considered
Why it may be relevant to Statistics: Opportunity for Statistics PhD researchers/ECRs to explore the commercial potential of research, particularly in AI/ML, data science and other technical areas.
Themes: PGR; ECR; entrepreneurship; innovation; AI/ML
Official opportunity: https://www.conceptionx.org/venture-scientist-100
Funding Finder: https://uofgstats.github.io/research-and-scholarship/
Please check the official funder page before preparing an application, as deadlines and eligibility requirements can change.
Best wishes,
Daniela &amp; Vinny
Research Lead for Statistics</v>
      </c>
      <c r="R50" s="13">
        <v>46296</v>
      </c>
    </row>
    <row r="51" spans="1:18" ht="120">
      <c r="A51" s="8" t="str">
        <f t="shared" ca="1" si="3"/>
        <v>FORTHCOMING</v>
      </c>
      <c r="B51" t="s">
        <v>447</v>
      </c>
      <c r="C51" t="s">
        <v>448</v>
      </c>
      <c r="D51" t="s">
        <v>449</v>
      </c>
      <c r="E51" t="s">
        <v>32</v>
      </c>
      <c r="F51" s="2" t="s">
        <v>450</v>
      </c>
      <c r="G51" s="2" t="s">
        <v>451</v>
      </c>
      <c r="H51" s="2" t="s">
        <v>452</v>
      </c>
      <c r="I51" s="2" t="s">
        <v>453</v>
      </c>
      <c r="J51" s="2" t="s">
        <v>454</v>
      </c>
      <c r="K51" s="21" t="s">
        <v>455</v>
      </c>
      <c r="L51" t="s">
        <v>456</v>
      </c>
      <c r="M51" s="11" t="s">
        <v>366</v>
      </c>
      <c r="N51" s="11" t="s">
        <v>368</v>
      </c>
      <c r="O51" s="11" t="s">
        <v>435</v>
      </c>
      <c r="P51" s="17" t="str">
        <f t="shared" ref="P51" si="7">IF(O51&lt;&gt;"Yes","","New funding opportunity added: "&amp;D51)</f>
        <v>New funding opportunity added: International Fellowships 2027</v>
      </c>
      <c r="Q51" s="20" t="str">
        <f t="shared" ref="Q51" si="8">IF(O51&lt;&gt;"Yes","","Hello,"&amp;CHAR(10)&amp;CHAR(10)&amp;"A new funding opportunity has been added to the Funding Finder for Statistics."&amp;CHAR(10)&amp;CHAR(10)&amp;"**"&amp;D51&amp;"**"&amp;CHAR(10)&amp;CHAR(10)&amp;"Funder: "&amp;C51&amp;CHAR(10)&amp;"Deadline: "&amp;IF(ISNUMBER(B51),TEXT(B51,"d mmmm yyyy"),B51)&amp;CHAR(10)&amp;"Funding and duration: "&amp;F51&amp;CHAR(10)&amp;CHAR(10)&amp;"Who can apply: "&amp;G51&amp;CHAR(10)&amp;CHAR(10)&amp;"Why it may be relevant to Statistics: "&amp;H51&amp;CHAR(10)&amp;CHAR(10)&amp;"Themes: "&amp;I51&amp;CHAR(10)&amp;CHAR(10)&amp;"Official opportunity: "&amp;K51&amp;CHAR(10)&amp;CHAR(10)&amp;"Funding Finder: "&amp;"https://uofgstats.github.io/research-and-scholarship/"&amp;CHAR(10)&amp;CHAR(10)&amp;"Please check the official funder page before preparing an application, as deadlines and eligibility requirements can change."&amp;CHAR(10)&amp;CHAR(10)&amp;"Best wishes,"&amp;CHAR(10)&amp;"Daniela &amp; Vinny"&amp;CHAR(10)&amp;"Research Lead for Statistics")</f>
        <v>Hello,
A new funding opportunity has been added to the Funding Finder for Statistics.
**International Fellowships 2027**
Funder: Royal Society / British Academy
Deadline: Early–mid March 2027 (TBC)
Funding and duration: 2 years; salary at 80% FEC + research expenses (2026: up to £12k) + relocation costs (2026: up to £8k)
Who can apply: International ECRs based outside the UK; normally ≤5 years active full-time postdoctoral experience. Applicant must have/complete PhD by final awards stage, must not hold UK citizenship, and generally must not have lived/worked/researched in UK during previous 12 months. UK Sponsor required. For 2027, max. 8 applications per UK institution.
Why it may be relevant to Statistics: Opportunity to recruit an international ECR to Glasgow for two years. Mathematics is explicitly within Royal Society remit; potentially relevant across Statistics research areas. Glasgow Statistics academics can act as UK Sponsors.
Themes: All research areas; ECR; International; Fellowship
Official opportunity: https://www.thebritishacademy.ac.uk/documents/6283/International_Fellowships_2027_-_FAQs.pdf?utm_source=chatgpt.com
Funding Finder: https://uofgstats.github.io/research-and-scholarship/
Please check the official funder page before preparing an application, as deadlines and eligibility requirements can change.
Best wishes,
Daniela &amp; Vinny
Research Lead for Statistics</v>
      </c>
      <c r="R51" s="13">
        <v>46296</v>
      </c>
    </row>
  </sheetData>
  <conditionalFormatting sqref="A2:A42 A50:A51">
    <cfRule type="expression" dxfId="12" priority="1">
      <formula>$A2="OPEN"</formula>
    </cfRule>
    <cfRule type="expression" dxfId="11" priority="2">
      <formula>$A2="FORTHCOMING"</formula>
    </cfRule>
    <cfRule type="expression" dxfId="10" priority="3">
      <formula>LEFT($A2,6)="CLOSED"</formula>
    </cfRule>
    <cfRule type="expression" dxfId="9" priority="4">
      <formula>$A2="DEADLINE PASSED"</formula>
    </cfRule>
  </conditionalFormatting>
  <conditionalFormatting sqref="A2:A51">
    <cfRule type="expression" dxfId="7" priority="5">
      <formula>$A2="OPEN"</formula>
    </cfRule>
    <cfRule type="expression" dxfId="6" priority="6">
      <formula>$A2="FORTHCOMING"</formula>
    </cfRule>
    <cfRule type="expression" dxfId="5" priority="7">
      <formula>LEFT($A2,6)="CLOSED"</formula>
    </cfRule>
    <cfRule type="expression" dxfId="4" priority="8">
      <formula>$A2="DEADLINE PASSED"</formula>
    </cfRule>
  </conditionalFormatting>
  <dataValidations count="3">
    <dataValidation type="list" sqref="M2:M500" xr:uid="{00000000-0002-0000-0000-000000000000}">
      <formula1>"Research,Scholarship,Research and Scholarship"</formula1>
    </dataValidation>
    <dataValidation type="list" sqref="N2:N500" xr:uid="{00000000-0002-0000-0000-000001000000}">
      <formula1>"OPEN,FORTHCOMING,CLOSED – monitor recurrence,CLOSED – invited stage continues"</formula1>
    </dataValidation>
    <dataValidation type="list" sqref="O2:O500" xr:uid="{00000000-0002-0000-0000-000002000000}">
      <formula1>"Yes,No,Added at launch – no notification"</formula1>
    </dataValidation>
  </dataValidations>
  <hyperlinks>
    <hyperlink ref="K50" r:id="rId1" xr:uid="{983CD2BB-548A-CA46-B886-1D5A7F03FD6A}"/>
    <hyperlink ref="K51" r:id="rId2" xr:uid="{0A543A7C-0D01-4D47-8579-515FA800D65F}"/>
  </hyperlinks>
  <pageMargins left="0.7" right="0.7" top="0.75" bottom="0.75" header="0.3" footer="0.3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5"/>
  <sheetViews>
    <sheetView workbookViewId="0"/>
  </sheetViews>
  <sheetFormatPr baseColWidth="10" defaultColWidth="8.83203125" defaultRowHeight="14"/>
  <cols>
    <col min="1" max="1" width="24" customWidth="1"/>
    <col min="2" max="2" width="88" customWidth="1"/>
  </cols>
  <sheetData>
    <row r="1" spans="1:2" ht="21">
      <c r="A1" s="22" t="s">
        <v>330</v>
      </c>
      <c r="B1" s="22"/>
    </row>
    <row r="2" spans="1:2" ht="30">
      <c r="A2" s="4" t="s">
        <v>331</v>
      </c>
      <c r="B2" s="2" t="s">
        <v>332</v>
      </c>
    </row>
    <row r="3" spans="1:2" ht="16">
      <c r="A3" s="4" t="s">
        <v>333</v>
      </c>
      <c r="B3" s="2" t="s">
        <v>432</v>
      </c>
    </row>
    <row r="4" spans="1:2" ht="45">
      <c r="A4" s="4" t="s">
        <v>334</v>
      </c>
      <c r="B4" s="2" t="s">
        <v>335</v>
      </c>
    </row>
    <row r="5" spans="1:2" ht="45">
      <c r="A5" s="4" t="s">
        <v>336</v>
      </c>
      <c r="B5" s="2" t="s">
        <v>337</v>
      </c>
    </row>
    <row r="6" spans="1:2" ht="32">
      <c r="A6" s="4" t="s">
        <v>338</v>
      </c>
      <c r="B6" s="2" t="s">
        <v>339</v>
      </c>
    </row>
    <row r="7" spans="1:2" ht="30">
      <c r="A7" s="4" t="s">
        <v>340</v>
      </c>
      <c r="B7" s="2" t="s">
        <v>341</v>
      </c>
    </row>
    <row r="8" spans="1:2" ht="16">
      <c r="A8" s="4" t="s">
        <v>342</v>
      </c>
      <c r="B8" s="2" t="s">
        <v>343</v>
      </c>
    </row>
    <row r="9" spans="1:2" ht="16">
      <c r="A9" s="4" t="s">
        <v>342</v>
      </c>
      <c r="B9" s="2" t="s">
        <v>344</v>
      </c>
    </row>
    <row r="10" spans="1:2" ht="16">
      <c r="A10" s="4" t="s">
        <v>342</v>
      </c>
      <c r="B10" s="2" t="s">
        <v>214</v>
      </c>
    </row>
    <row r="11" spans="1:2" ht="16">
      <c r="A11" s="4" t="s">
        <v>342</v>
      </c>
      <c r="B11" s="2" t="s">
        <v>345</v>
      </c>
    </row>
    <row r="12" spans="1:2" ht="16">
      <c r="A12" s="4" t="s">
        <v>342</v>
      </c>
      <c r="B12" s="2" t="s">
        <v>346</v>
      </c>
    </row>
    <row r="13" spans="1:2" ht="16">
      <c r="A13" s="4" t="s">
        <v>342</v>
      </c>
      <c r="B13" s="2" t="s">
        <v>347</v>
      </c>
    </row>
    <row r="14" spans="1:2" ht="16">
      <c r="A14" s="4" t="s">
        <v>342</v>
      </c>
      <c r="B14" s="2" t="s">
        <v>135</v>
      </c>
    </row>
    <row r="15" spans="1:2" ht="16">
      <c r="A15" s="4" t="s">
        <v>342</v>
      </c>
      <c r="B15" s="2" t="s">
        <v>348</v>
      </c>
    </row>
    <row r="16" spans="1:2" ht="16">
      <c r="A16" s="4" t="s">
        <v>342</v>
      </c>
      <c r="B16" s="2" t="s">
        <v>322</v>
      </c>
    </row>
    <row r="17" spans="1:2" ht="16">
      <c r="A17" s="4" t="s">
        <v>342</v>
      </c>
      <c r="B17" s="2" t="s">
        <v>116</v>
      </c>
    </row>
    <row r="18" spans="1:2" ht="16">
      <c r="A18" s="4" t="s">
        <v>342</v>
      </c>
      <c r="B18" s="2" t="s">
        <v>143</v>
      </c>
    </row>
    <row r="19" spans="1:2" ht="45">
      <c r="A19" s="4" t="s">
        <v>349</v>
      </c>
      <c r="B19" s="2" t="s">
        <v>350</v>
      </c>
    </row>
    <row r="20" spans="1:2" ht="45">
      <c r="A20" s="15" t="s">
        <v>360</v>
      </c>
      <c r="B20" s="5" t="s">
        <v>433</v>
      </c>
    </row>
    <row r="21" spans="1:2" ht="57" customHeight="1">
      <c r="A21" s="6" t="s">
        <v>351</v>
      </c>
      <c r="B21" s="6" t="s">
        <v>352</v>
      </c>
    </row>
    <row r="22" spans="1:2" ht="30">
      <c r="A22" s="7" t="s">
        <v>353</v>
      </c>
      <c r="B22" s="5" t="s">
        <v>434</v>
      </c>
    </row>
    <row r="23" spans="1:2" ht="15">
      <c r="A23" s="7" t="s">
        <v>354</v>
      </c>
      <c r="B23" s="5" t="s">
        <v>355</v>
      </c>
    </row>
    <row r="24" spans="1:2" ht="30">
      <c r="A24" s="7" t="s">
        <v>356</v>
      </c>
      <c r="B24" s="5" t="s">
        <v>357</v>
      </c>
    </row>
    <row r="25" spans="1:2" ht="15">
      <c r="A25" s="7" t="s">
        <v>358</v>
      </c>
      <c r="B25" s="5" t="s">
        <v>359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Funding opportunities</vt:lpstr>
      <vt:lpstr>Guide &amp;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Daniela Castro-Camilo</cp:lastModifiedBy>
  <dcterms:modified xsi:type="dcterms:W3CDTF">2026-10-01T15:58:53Z</dcterms:modified>
</cp:coreProperties>
</file>