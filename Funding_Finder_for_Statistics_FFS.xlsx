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cba1b41d6d6454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unding opportunities" sheetId="1" r:id="Rc981d89a9e014432"/>
    <x:sheet xmlns:r="http://schemas.openxmlformats.org/officeDocument/2006/relationships" name="Guide &amp; sources" sheetId="2" r:id="Rb04f1adb9c9f4d6f"/>
  </x:sheets>
</x:workbook>
</file>

<file path=xl/sharedStrings.xml><?xml version="1.0" encoding="utf-8"?>
<x:sst xmlns:x="http://schemas.openxmlformats.org/spreadsheetml/2006/main">
  <x:si>
    <x:t xml:space="preserve">Status</x:t>
  </x:si>
  <x:si>
    <x:t xml:space="preserve">Deadline</x:t>
  </x:si>
  <x:si>
    <x:t xml:space="preserve">Funder</x:t>
  </x:si>
  <x:si>
    <x:t xml:space="preserve">Opportunity</x:t>
  </x:si>
  <x:si>
    <x:t xml:space="preserve">Type</x:t>
  </x:si>
  <x:si>
    <x:t xml:space="preserve">Funding / duration</x:t>
  </x:si>
  <x:si>
    <x:t xml:space="preserve">Who can apply / key restriction</x:t>
  </x:si>
  <x:si>
    <x:t xml:space="preserve">Why relevant to Statistics</x:t>
  </x:si>
  <x:si>
    <x:t xml:space="preserve">Theme tags</x:t>
  </x:si>
  <x:si>
    <x:t xml:space="preserve">Internal action / note</x:t>
  </x:si>
  <x:si>
    <x:t xml:space="preserve">Source</x:t>
  </x:si>
  <x:si>
    <x:t xml:space="preserve">Source list</x:t>
  </x:si>
  <x:si>
    <x:t xml:space="preserve">Manual Status</x:t>
  </x:si>
  <x:si>
    <x:t xml:space="preserve">Notify?</x:t>
  </x:si>
  <x:si>
    <x:t xml:space="preserve">Email subject</x:t>
  </x:si>
  <x:si>
    <x:t xml:space="preserve">Email body</x:t>
  </x:si>
  <x:si>
    <x:t xml:space="preserve">Official opportunity link</x:t>
  </x:si>
  <x:si>
    <x:t xml:space="preserve">Funding Finder link</x:t>
  </x:si>
  <x:si>
    <x:t xml:space="preserve">Notification date</x:t>
  </x:si>
  <x:si>
    <x:t xml:space="preserve">LMS</x:t>
  </x:si>
  <x:si>
    <x:t xml:space="preserve">Scheme 3: Joint Research Groups</x:t>
  </x:si>
  <x:si>
    <x:t xml:space="preserve">Network / collaboration</x:t>
  </x:si>
  <x:si>
    <x:t xml:space="preserve">Up to £2,400 per academic year</x:t>
  </x:si>
  <x:si>
    <x:t xml:space="preserve">UK-based mathematicians; annual scheme</x:t>
  </x:si>
  <x:si>
    <x:t xml:space="preserve">Supports sustained mathematical research groups and collaborations.</x:t>
  </x:si>
  <x:si>
    <x:t xml:space="preserve">Mathematics; collaboration</x:t>
  </x:si>
  <x:si>
    <x:t xml:space="preserve">Very relevant recurring LMS scheme.</x:t>
  </x:si>
  <x:si>
    <x:t xml:space="preserve">https://www.lms.ac.uk/grants/calendar</x:t>
  </x:si>
  <x:si>
    <x:t xml:space="preserve">OPEN</x:t>
  </x:si>
  <x:si>
    <x:t xml:space="preserve">ARIA</x:t>
  </x:si>
  <x:si>
    <x:t xml:space="preserve">Hypersensory Intelligence: Olfactory Perception – TA1 Open Olfactory Resource</x:t>
  </x:si>
  <x:si>
    <x:t xml:space="preserve">Research programme</x:t>
  </x:si>
  <x:si>
    <x:t xml:space="preserve">Programme backed by £65m; TA1 call</x:t>
  </x:si>
  <x:si>
    <x:t xml:space="preserve">See ARIA call; interdisciplinary teams</x:t>
  </x:si>
  <x:si>
    <x:t xml:space="preserve">Potential role for statistics/ML in large-scale chemical-signal data, representation learning and uncertainty.</x:t>
  </x:si>
  <x:si>
    <x:t xml:space="preserve">AI/ML; data; health; environment</x:t>
  </x:si>
  <x:si>
    <x:t xml:space="preserve">Targeted rather than general Stats opportunity.</x:t>
  </x:si>
  <x:si>
    <x:t xml:space="preserve">https://aria.org.uk/opportunity-spaces/nature-inspired-computation/olfactory-perception</x:t>
  </x:si>
  <x:si>
    <x:t xml:space="preserve">LMS / HIMR / UKRI</x:t>
  </x:si>
  <x:si>
    <x:t xml:space="preserve">LMS Early Career Fellowships</x:t>
  </x:si>
  <x:si>
    <x:t xml:space="preserve">Fellowship</x:t>
  </x:si>
  <x:si>
    <x:t xml:space="preserve">3–6 months; £1,820/month + £800 allowance; up to £11,720</x:t>
  </x:si>
  <x:si>
    <x:t xml:space="preserve">Recent/near-completion PhD mathematicians; UK resident at deadline</x:t>
  </x:si>
  <x:si>
    <x:t xml:space="preserve">Excellent bridge funding for graduating Stats PhDs moving to postdoctoral research.</x:t>
  </x:si>
  <x:si>
    <x:t xml:space="preserve">ECR; mathematics; fellowship</x:t>
  </x:si>
  <x:si>
    <x:t xml:space="preserve">Flag to PGRs and supervisors.</x:t>
  </x:si>
  <x:si>
    <x:t xml:space="preserve">https://www.lms.ac.uk/grants/lms-early-career-fellowships</x:t>
  </x:si>
  <x:si>
    <x:t xml:space="preserve">Forecasting Tipping Points Phase 2</x:t>
  </x:si>
  <x:si>
    <x:t xml:space="preserve">ARIA programme backed by £114m; concept paper then invited full proposal</x:t>
  </x:si>
  <x:si>
    <x:t xml:space="preserve">Teams contributing to ocean observing, interannual-to-decadal forecasting or decision-focused climate evidence translation</x:t>
  </x:si>
  <x:si>
    <x:t xml:space="preserve">Exceptionally strong fit for environmental statistics, extremes, forecasting, uncertainty quantification, data fusion and AI.</x:t>
  </x:si>
  <x:si>
    <x:t xml:space="preserve">Environment; extremes; forecasting; AI</x:t>
  </x:si>
  <x:si>
    <x:t xml:space="preserve">Concept paper 9 Oct 14:00 BST; full proposals 2 Dec 14:00 GMT. Very high relevance to group.</x:t>
  </x:si>
  <x:si>
    <x:t xml:space="preserve">https://aria.org.uk/opportunity-spaces/resilient-climate-and-ecosystems/forecasting-tipping-points/funding</x:t>
  </x:si>
  <x:si>
    <x:t xml:space="preserve">Postgraduate Research Conference Grants (Scheme 8)</x:t>
  </x:si>
  <x:si>
    <x:t xml:space="preserve">Conference / ECR</x:t>
  </x:si>
  <x:si>
    <x:t xml:space="preserve">Up to £2,500</x:t>
  </x:si>
  <x:si>
    <x:t xml:space="preserve">For postgraduate-led research conferences; see LMS eligibility</x:t>
  </x:si>
  <x:si>
    <x:t xml:space="preserve">Useful for Statistics PGRs organising specialist meetings.</x:t>
  </x:si>
  <x:si>
    <x:t xml:space="preserve">PGR; mathematics; events</x:t>
  </x:si>
  <x:si>
    <x:t xml:space="preserve">Also recurring deadline 22 Feb 2027.</x:t>
  </x:si>
  <x:si>
    <x:t xml:space="preserve">Celebrating New Appointments (Scheme 9)</x:t>
  </x:si>
  <x:si>
    <x:t xml:space="preserve">ECR / event</x:t>
  </x:si>
  <x:si>
    <x:t xml:space="preserve">Up to £450–£500</x:t>
  </x:si>
  <x:si>
    <x:t xml:space="preserve">Newly appointed mathematicians; see LMS scheme</x:t>
  </x:si>
  <x:si>
    <x:t xml:space="preserve">Small, easy-to-use support for new Statistics appointments and research activity.</x:t>
  </x:si>
  <x:si>
    <x:t xml:space="preserve">ECR; mathematics</x:t>
  </x:si>
  <x:si>
    <x:t xml:space="preserve">Early Career Researcher Travel Grants</x:t>
  </x:si>
  <x:si>
    <x:t xml:space="preserve">Travel / collaboration</x:t>
  </x:si>
  <x:si>
    <x:t xml:space="preserve">Up to £700</x:t>
  </x:si>
  <x:si>
    <x:t xml:space="preserve">UK-based mathematics ECRs: PhD students or within 3 years of PhD (career breaks excluded)</x:t>
  </x:si>
  <x:si>
    <x:t xml:space="preserve">Conference travel and research visits for Stats PGRs/ECRs.</x:t>
  </x:si>
  <x:si>
    <x:t xml:space="preserve">ECR; travel; mathematics</x:t>
  </x:si>
  <x:si>
    <x:t xml:space="preserve">Priority is often given to research visits combined with conference attendance; next deadline 22 Feb 2027.</x:t>
  </x:si>
  <x:si>
    <x:t xml:space="preserve">https://www.lms.ac.uk/grants/lms-travel-grants-early-career-researchers</x:t>
  </x:si>
  <x:si>
    <x:t xml:space="preserve">RSE</x:t>
  </x:si>
  <x:si>
    <x:t xml:space="preserve">Personal Research Fellowships</x:t>
  </x:si>
  <x:si>
    <x:t xml:space="preserve">Fellowship / research leave</x:t>
  </x:si>
  <x:si>
    <x:t xml:space="preserve">Temporary replacement salary + research costs; up to 12 months</x:t>
  </x:si>
  <x:si>
    <x:t xml:space="preserve">Eligible academics in Scottish institutions; research may be in any discipline</x:t>
  </x:si>
  <x:si>
    <x:t xml:space="preserve">Directly relevant to Statistics staff seeking protected research time.</x:t>
  </x:si>
  <x:si>
    <x:t xml:space="preserve">All disciplines; fellowship</x:t>
  </x:si>
  <x:si>
    <x:t xml:space="preserve">Autumn 2026 call. Includes ESS-RSE themed route on Scotland's Biodiversity Pathways.</x:t>
  </x:si>
  <x:si>
    <x:t xml:space="preserve">https://rse.org.uk/award/rse-personal-research-fellowships/</x:t>
  </x:si>
  <x:si>
    <x:t xml:space="preserve">Research Collaboration Grants</x:t>
  </x:si>
  <x:si>
    <x:t xml:space="preserve">Collaboration / network</x:t>
  </x:si>
  <x:si>
    <x:t xml:space="preserve">Up to 24 months; see current terms for award value</x:t>
  </x:si>
  <x:si>
    <x:t xml:space="preserve">PI in eligible Scottish HEI/FEI/RI/cultural institution; all disciplines/career stages</x:t>
  </x:si>
  <x:si>
    <x:t xml:space="preserve">Good fit for interdisciplinary statistical collaborations and building new research networks.</x:t>
  </x:si>
  <x:si>
    <x:t xml:space="preserve">All disciplines; collaboration</x:t>
  </x:si>
  <x:si>
    <x:t xml:space="preserve">Only one RSE proposal per applicant per funding round; choose best-suited scheme.</x:t>
  </x:si>
  <x:si>
    <x:t xml:space="preserve">https://rse.org.uk/award/rse-research-collaboration-grants/</x:t>
  </x:si>
  <x:si>
    <x:t xml:space="preserve">Small Research Grants</x:t>
  </x:si>
  <x:si>
    <x:t xml:space="preserve">Research grant</x:t>
  </x:si>
  <x:si>
    <x:t xml:space="preserve">Up to 12 months; see current terms for award value</x:t>
  </x:si>
  <x:si>
    <x:t xml:space="preserve">Eligible Scotland-based researchers; any discipline</x:t>
  </x:si>
  <x:si>
    <x:t xml:space="preserve">Useful seed funding for methodological/statistical pilot work and preliminary results.</x:t>
  </x:si>
  <x:si>
    <x:t xml:space="preserve">All disciplines; seed</x:t>
  </x:si>
  <x:si>
    <x:t xml:space="preserve">Only one RSE proposal per applicant per funding round.</x:t>
  </x:si>
  <x:si>
    <x:t xml:space="preserve">https://rse.org.uk/award/rse-small-grants/</x:t>
  </x:si>
  <x:si>
    <x:t xml:space="preserve">International Joint Projects</x:t>
  </x:si>
  <x:si>
    <x:t xml:space="preserve">International collaboration</x:t>
  </x:si>
  <x:si>
    <x:t xml:space="preserve">Up to 2 years; scheme-dependent funding</x:t>
  </x:si>
  <x:si>
    <x:t xml:space="preserve">Scotland-based researcher + eligible overseas partner under current partner-academy streams</x:t>
  </x:si>
  <x:si>
    <x:t xml:space="preserve">Strong route for building international statistical collaborations.</x:t>
  </x:si>
  <x:si>
    <x:t xml:space="preserve">International; collaboration</x:t>
  </x:si>
  <x:si>
    <x:t xml:space="preserve">Requires corresponding application to partner academy where applicable.</x:t>
  </x:si>
  <x:si>
    <x:t xml:space="preserve">https://rse.org.uk/award/rse-joint-projects/</x:t>
  </x:si>
  <x:si>
    <x:t xml:space="preserve">International Bilateral Visits</x:t>
  </x:si>
  <x:si>
    <x:t xml:space="preserve">International visit</x:t>
  </x:si>
  <x:si>
    <x:t xml:space="preserve">Short-term visits; see country-specific terms</x:t>
  </x:si>
  <x:si>
    <x:t xml:space="preserve">Scotland-based researchers collaborating with eligible academy countries</x:t>
  </x:si>
  <x:si>
    <x:t xml:space="preserve">Useful for short collaborative visits and developing international grant pipelines.</x:t>
  </x:si>
  <x:si>
    <x:t xml:space="preserve">International; travel</x:t>
  </x:si>
  <x:si>
    <x:t xml:space="preserve">Autumn 2026 partners include Hungary, Taiwan, Poland, Slovakia and Slovenia.</x:t>
  </x:si>
  <x:si>
    <x:t xml:space="preserve">https://rse.org.uk/award/international-bilateral-visits/</x:t>
  </x:si>
  <x:si>
    <x:t xml:space="preserve">SAPHIRE Fund</x:t>
  </x:si>
  <x:si>
    <x:t xml:space="preserve">£5,000–£19,999 band; see current terms</x:t>
  </x:si>
  <x:si>
    <x:t xml:space="preserve">Scottish researchers with partners in eligible Asia-Pacific countries; theme: Climate Change, Biodiversity and Renewable Energy</x:t>
  </x:si>
  <x:si>
    <x:t xml:space="preserve">Strong fit for environmental, ecological, climate and renewable-energy statistics.</x:t>
  </x:si>
  <x:si>
    <x:t xml:space="preserve">Environment; international; energy</x:t>
  </x:si>
  <x:si>
    <x:t xml:space="preserve">Requires relevant existing peer-reviewed project/funding or track record as specified.</x:t>
  </x:si>
  <x:si>
    <x:t xml:space="preserve">https://rse.org.uk/award/scotland-asia-partnerships-higher-education-research-fund-saphire/</x:t>
  </x:si>
  <x:si>
    <x:t xml:space="preserve">Innovate UK / OLS</x:t>
  </x:si>
  <x:si>
    <x:t xml:space="preserve">Advancing innovation in accelerated cancer diagnosis</x:t>
  </x:si>
  <x:si>
    <x:t xml:space="preserve">Collaborative innovation</x:t>
  </x:si>
  <x:si>
    <x:t xml:space="preserve">Total fund £25.4m</x:t>
  </x:si>
  <x:si>
    <x:t xml:space="preserve">Collaboration only; lead may be academic/NHS/business; consortium must include a UK SME claiming funding</x:t>
  </x:si>
  <x:si>
    <x:t xml:space="preserve">Relevant where Stats contributes AI, diagnostic modelling, validation, prediction or trial/evaluation methodology.</x:t>
  </x:si>
  <x:si>
    <x:t xml:space="preserve">Health; AI/ML; diagnostics</x:t>
  </x:si>
  <x:si>
    <x:t xml:space="preserve">Targeted collaboration opportunity, not a general statistics call.</x:t>
  </x:si>
  <x:si>
    <x:t xml:space="preserve">https://www.ukri.org/opportunity/advancing-innovation-in-accelerated-cancer-diagnosis/</x:t>
  </x:si>
  <x:si>
    <x:t xml:space="preserve">Specific call</x:t>
  </x:si>
  <x:si>
    <x:t xml:space="preserve">RSE / Fulbright</x:t>
  </x:si>
  <x:si>
    <x:t xml:space="preserve">RSE Fulbright Scholar Award</x:t>
  </x:si>
  <x:si>
    <x:t xml:space="preserve">International fellowship / visit</x:t>
  </x:si>
  <x:si>
    <x:t xml:space="preserve">Up to 3 months in US</x:t>
  </x:si>
  <x:si>
    <x:t xml:space="preserve">UK resident with clear continuing Scotland connection; PhD/equivalent</x:t>
  </x:si>
  <x:si>
    <x:t xml:space="preserve">Potentially valuable for established Statistics academics developing US collaborations.</x:t>
  </x:si>
  <x:si>
    <x:t xml:space="preserve">International; fellowship</x:t>
  </x:si>
  <x:si>
    <x:t xml:space="preserve">2026 themes include climate/environment, economic prosperity, social cohesion/inclusion.</x:t>
  </x:si>
  <x:si>
    <x:t xml:space="preserve">https://rse.org.uk/award/fulbright-rse-scholar-award/</x:t>
  </x:si>
  <x:si>
    <x:t xml:space="preserve">UKRI</x:t>
  </x:si>
  <x:si>
    <x:t xml:space="preserve">Transformative sustainable AI technologies</x:t>
  </x:si>
  <x:si>
    <x:t xml:space="preserve">FEC up to £602,500; UKRI funds 80%; up to 24 months</x:t>
  </x:si>
  <x:si>
    <x:t xml:space="preserve">UKRI-eligible UK research organisation</x:t>
  </x:si>
  <x:si>
    <x:t xml:space="preserve">Strong for Stats/ML work on computationally efficient, sustainable or otherwise lower-impact AI systems.</x:t>
  </x:si>
  <x:si>
    <x:t xml:space="preserve">AI/ML; sustainability</x:t>
  </x:si>
  <x:si>
    <x:t xml:space="preserve">NOTE: UofG note of interest required — see email sent 26/08.</x:t>
  </x:si>
  <x:si>
    <x:t xml:space="preserve">https://www.ukri.org/opportunity/transformative-sustainable-ai-technologies/</x:t>
  </x:si>
  <x:si>
    <x:t xml:space="preserve">NERC</x:t>
  </x:si>
  <x:si>
    <x:t xml:space="preserve">Exploring the frontiers of environmental research 2026</x:t>
  </x:si>
  <x:si>
    <x:t xml:space="preserve">£100,000–£200,000; total fund £8m</x:t>
  </x:si>
  <x:si>
    <x:t xml:space="preserve">UK organisation eligible for NERC funding</x:t>
  </x:si>
  <x:si>
    <x:t xml:space="preserve">Very strong group fit: novel, curiosity-driven environmental research; statistical methods can underpin transformative environmental science.</x:t>
  </x:si>
  <x:si>
    <x:t xml:space="preserve">Environment; methods; interdisciplinary</x:t>
  </x:si>
  <x:si>
    <x:t xml:space="preserve">High relevance to environmental/ecological Statistics. Check UofG internal quality-management process.</x:t>
  </x:si>
  <x:si>
    <x:t xml:space="preserve">https://www.ukri.org/opportunity/exploring-the-frontiers-of-environmental-research-2026/</x:t>
  </x:si>
  <x:si>
    <x:t xml:space="preserve">Emmy Noether Fellowships</x:t>
  </x:si>
  <x:si>
    <x:t xml:space="preserve">Fellowship / research support</x:t>
  </x:si>
  <x:si>
    <x:t xml:space="preserve">£2,000–£10,000</x:t>
  </x:si>
  <x:si>
    <x:t xml:space="preserve">PhD in mathematics/closely related subject; UK university academic; caring-related eligibility</x:t>
  </x:si>
  <x:si>
    <x:t xml:space="preserve">Supports maintaining/re-establishing mathematical sciences research around significant caring responsibilities.</x:t>
  </x:si>
  <x:si>
    <x:t xml:space="preserve">Mathematics; fellowship; EDI</x:t>
  </x:si>
  <x:si>
    <x:t xml:space="preserve">One-year LMS Emmy Noether Fellow title.</x:t>
  </x:si>
  <x:si>
    <x:t xml:space="preserve">https://www.lms.ac.uk/news/lms-emmy-noether-fellowships-2026</x:t>
  </x:si>
  <x:si>
    <x:t xml:space="preserve">Healthy Planet, Healthy People: Catalyst Awards</x:t>
  </x:si>
  <x:si>
    <x:t xml:space="preserve">Community research / seed</x:t>
  </x:si>
  <x:si>
    <x:t xml:space="preserve">See current RSE call</x:t>
  </x:si>
  <x:si>
    <x:t xml:space="preserve">Interdisciplinary/community-led projects meeting scheme criteria</x:t>
  </x:si>
  <x:si>
    <x:t xml:space="preserve">Potential fit for environmental/health statistics where quantitative evaluation is embedded in community-led work.</x:t>
  </x:si>
  <x:si>
    <x:t xml:space="preserve">Environment; health; community</x:t>
  </x:si>
  <x:si>
    <x:t xml:space="preserve">More targeted than core RSE schemes.</x:t>
  </x:si>
  <x:si>
    <x:t xml:space="preserve">https://rse.org.uk/autumn-2026-rse-research-awards-programme-opens-today/</x:t>
  </x:si>
  <x:si>
    <x:t xml:space="preserve">Healthy Planet, Healthy People: Change Awards</x:t>
  </x:si>
  <x:si>
    <x:t xml:space="preserve">Follow-on / scale-up</x:t>
  </x:si>
  <x:si>
    <x:t xml:space="preserve">Up to £75,000</x:t>
  </x:si>
  <x:si>
    <x:t xml:space="preserve">For previous Catalyst Award recipients; see current call</x:t>
  </x:si>
  <x:si>
    <x:t xml:space="preserve">Relevant only to eligible prior Catalyst projects with statistical/environmental-health components.</x:t>
  </x:si>
  <x:si>
    <x:t xml:space="preserve">Environment; health; follow-on</x:t>
  </x:si>
  <x:si>
    <x:t xml:space="preserve">Restricted eligibility.</x:t>
  </x:si>
  <x:si>
    <x:t xml:space="preserve">Conference and Research Workshop Grants (Scheme 1)</x:t>
  </x:si>
  <x:si>
    <x:t xml:space="preserve">Conference / workshop</x:t>
  </x:si>
  <x:si>
    <x:t xml:space="preserve">Up to £7,000</x:t>
  </x:si>
  <x:si>
    <x:t xml:space="preserve">UK-based mathematician; PhD students not eligible to apply</x:t>
  </x:si>
  <x:si>
    <x:t xml:space="preserve">Highly relevant for Statistics workshops, specialist meetings and research events.</x:t>
  </x:si>
  <x:si>
    <x:t xml:space="preserve">Mathematics; events</x:t>
  </x:si>
  <x:si>
    <x:t xml:space="preserve">Recurring deadlines: 22 Jan and 15 May 2027.</x:t>
  </x:si>
  <x:si>
    <x:t xml:space="preserve">https://www.lms.ac.uk/grants/conference-grants-scheme-1</x:t>
  </x:si>
  <x:si>
    <x:t xml:space="preserve">Visiting Speakers to the UK (Scheme 2)</x:t>
  </x:si>
  <x:si>
    <x:t xml:space="preserve">Visitor / collaboration</x:t>
  </x:si>
  <x:si>
    <x:t xml:space="preserve">Up to £2,000 (+ possible caring costs)</x:t>
  </x:si>
  <x:si>
    <x:t xml:space="preserve">UK-based mathematician; visitor gives lectures at at least 3 institutions</x:t>
  </x:si>
  <x:si>
    <x:t xml:space="preserve">Useful for bringing international statisticians to Glasgow as part of a UK visit.</x:t>
  </x:si>
  <x:si>
    <x:t xml:space="preserve">Mathematics; visitor</x:t>
  </x:si>
  <x:si>
    <x:t xml:space="preserve">https://www.lms.ac.uk/grants/visits-uk-scheme-2</x:t>
  </x:si>
  <x:si>
    <x:t xml:space="preserve">Research Reboot / Research in Pairs (Scheme 4)</x:t>
  </x:si>
  <x:si>
    <x:t xml:space="preserve">Research / collaboration</x:t>
  </x:si>
  <x:si>
    <x:t xml:space="preserve">Up to £1,600</x:t>
  </x:si>
  <x:si>
    <x:t xml:space="preserve">UK-based mathematicians; Research in Pairs excludes PhD applicants</x:t>
  </x:si>
  <x:si>
    <x:t xml:space="preserve">Very useful small scheme for focused collaborative statistical research visits.</x:t>
  </x:si>
  <x:si>
    <x:t xml:space="preserve">https://www.lms.ac.uk/grants/research-pairs-scheme-4</x:t>
  </x:si>
  <x:si>
    <x:t xml:space="preserve">Collaborations with Developing Countries (Scheme 5)</x:t>
  </x:si>
  <x:si>
    <x:t xml:space="preserve">Up to £4,000</x:t>
  </x:si>
  <x:si>
    <x:t xml:space="preserve">UK-based mathematicians collaborating with eligible countries</x:t>
  </x:si>
  <x:si>
    <x:t xml:space="preserve">Useful for international mathematical/statistical collaboration and capacity building.</x:t>
  </x:si>
  <x:si>
    <x:t xml:space="preserve">Mathematics; international</x:t>
  </x:si>
  <x:si>
    <x:t xml:space="preserve">Atiyah UK-Lebanon Fellowships</x:t>
  </x:si>
  <x:si>
    <x:t xml:space="preserve">International fellowship</x:t>
  </x:si>
  <x:si>
    <x:t xml:space="preserve">Up to £8,600</x:t>
  </x:si>
  <x:si>
    <x:t xml:space="preserve">See LMS country/scheme eligibility</x:t>
  </x:si>
  <x:si>
    <x:t xml:space="preserve">Potentially relevant to mathematical sciences collaboration with Lebanon.</x:t>
  </x:si>
  <x:si>
    <x:t xml:space="preserve">Targeted geography.</x:t>
  </x:si>
  <x:si>
    <x:t xml:space="preserve">Undergraduate Research Bursaries</x:t>
  </x:si>
  <x:si>
    <x:t xml:space="preserve">Student research</x:t>
  </x:si>
  <x:si>
    <x:t xml:space="preserve">Up to £2,000</x:t>
  </x:si>
  <x:si>
    <x:t xml:space="preserve">See LMS scheme; supports undergraduate mathematical research</x:t>
  </x:si>
  <x:si>
    <x:t xml:space="preserve">Useful for summer research projects with Statistics students.</x:t>
  </x:si>
  <x:si>
    <x:t xml:space="preserve">UG; mathematics</x:t>
  </x:si>
  <x:si>
    <x:t xml:space="preserve">Flag to potential supervisors well before deadline.</x:t>
  </x:si>
  <x:si>
    <x:t xml:space="preserve">No closing date</x:t>
  </x:si>
  <x:si>
    <x:t xml:space="preserve">BBSRC / FAPESP</x:t>
  </x:si>
  <x:si>
    <x:t xml:space="preserve">BBSRC Brazil pump-priming award (FAPPA)</x:t>
  </x:si>
  <x:si>
    <x:t xml:space="preserve">International seed / collaboration</x:t>
  </x:si>
  <x:si>
    <x:t xml:space="preserve">Up to £35,000 at 100% FEC over 2 years</x:t>
  </x:si>
  <x:si>
    <x:t xml:space="preserve">UK lead must currently hold relevant BBSRC research funding; São Paulo partner must hold FAPESP grant</x:t>
  </x:si>
  <x:si>
    <x:t xml:space="preserve">Relevant for statistical methodology embedded in bioscience collaborations with São Paulo, but eligibility is restrictive.</x:t>
  </x:si>
  <x:si>
    <x:t xml:space="preserve">Bioscience; international; Brazil</x:t>
  </x:si>
  <x:si>
    <x:t xml:space="preserve">Apply at least 12 weeks before project start.</x:t>
  </x:si>
  <x:si>
    <x:t xml:space="preserve">https://www.ukri.org/opportunity/bbsrc-brazil-pump-priming-award-fappa/</x:t>
  </x:si>
  <x:si>
    <x:t xml:space="preserve">EPSRC</x:t>
  </x:si>
  <x:si>
    <x:t xml:space="preserve">Mathematical Sciences Small Grants</x:t>
  </x:si>
  <x:si>
    <x:t xml:space="preserve">FEC up to £100,000; EPSRC 80%; usually up to 12 months</x:t>
  </x:si>
  <x:si>
    <x:t xml:space="preserve">Standard EPSRC eligibility; majority of research within Mathematical Sciences remit</x:t>
  </x:si>
  <x:si>
    <x:t xml:space="preserve">Core FFS opportunity: ideal for pilot methods, proof-of-principle, short follow-ons, new collaborations and discipline hopping.</x:t>
  </x:si>
  <x:si>
    <x:t xml:space="preserve">Mathematics; methods; seed</x:t>
  </x:si>
  <x:si>
    <x:t xml:space="preserve">Always open.</x:t>
  </x:si>
  <x:si>
    <x:t xml:space="preserve">https://www.ukri.org/opportunity/mathematical-sciences-small-grants/</x:t>
  </x:si>
  <x:si>
    <x:t xml:space="preserve">UKRI / core</x:t>
  </x:si>
  <x:si>
    <x:t xml:space="preserve">EPSRC Standard Research Grant</x:t>
  </x:si>
  <x:si>
    <x:t xml:space="preserve">No stated limit on grant size or duration; EPSRC funds 80% FEC</x:t>
  </x:si>
  <x:si>
    <x:t xml:space="preserve">EPSRC-eligible applicants and organisations; research within EPSRC remit</x:t>
  </x:si>
  <x:si>
    <x:t xml:space="preserve">Core route for substantial statistical methodology and interdisciplinary mathematical sciences research.</x:t>
  </x:si>
  <x:si>
    <x:t xml:space="preserve">Mathematics; methods; interdisciplinary</x:t>
  </x:si>
  <x:si>
    <x:t xml:space="preserve">Always open; check current Funding Service guidance before applying.</x:t>
  </x:si>
  <x:si>
    <x:t xml:space="preserve">https://www.ukri.org/councils/epsrc/guidance-for-applicants/types-of-funding-we-offer/standard-research/</x:t>
  </x:si>
  <x:si>
    <x:t xml:space="preserve">EPSRC New Investigator Award: applicant-led mode</x:t>
  </x:si>
  <x:si>
    <x:t xml:space="preserve">ECR research grant</x:t>
  </x:si>
  <x:si>
    <x:t xml:space="preserve">Applicant-led; see current call for budget guidance</x:t>
  </x:si>
  <x:si>
    <x:t xml:space="preserve">First EPSRC application as project lead; transition to research independence</x:t>
  </x:si>
  <x:si>
    <x:t xml:space="preserve">Core opportunity for eligible early-career Statistics academics.</x:t>
  </x:si>
  <x:si>
    <x:t xml:space="preserve">https://www.ukri.org/opportunity/?keywords=new+investigator+grant</x:t>
  </x:si>
  <x:si>
    <x:t xml:space="preserve">Mathematical Sciences Early Independence Fellowship</x:t>
  </x:si>
  <x:si>
    <x:t xml:space="preserve">Maximum award £1.25m</x:t>
  </x:si>
  <x:si>
    <x:t xml:space="preserve">PhD plus evidence of career consolidation/productivity and plan for independent niche; Mathematical Sciences remit</x:t>
  </x:si>
  <x:si>
    <x:t xml:space="preserve">Core fellowship for mathematical/statistical researchers moving toward independence.</x:t>
  </x:si>
  <x:si>
    <x:t xml:space="preserve">Always open as of Sep 2026.</x:t>
  </x:si>
  <x:si>
    <x:t xml:space="preserve">https://www.ukri.org/opportunity/?keywords=postdoctoral+fellowships</x:t>
  </x:si>
  <x:si>
    <x:t xml:space="preserve">Sep/Oct 2026</x:t>
  </x:si>
  <x:si>
    <x:t xml:space="preserve">Enabling AI adoption across science and engineering</x:t>
  </x:si>
  <x:si>
    <x:t xml:space="preserve">Total fund £5m; maximum award around £250k (future-opportunities page previously noted figure subject to confirmation)</x:t>
  </x:si>
  <x:si>
    <x:t xml:space="preserve">UKRI-eligible research organisations; final eligibility at launch</x:t>
  </x:si>
  <x:si>
    <x:t xml:space="preserve">Strong cross-disciplinary route for statisticians applying AI to science and engineering research challenges.</x:t>
  </x:si>
  <x:si>
    <x:t xml:space="preserve">AI/ML; interdisciplinary</x:t>
  </x:si>
  <x:si>
    <x:t xml:space="preserve">Listed by UKRI for Sep 2026; check launched call for final details.</x:t>
  </x:si>
  <x:si>
    <x:t xml:space="preserve">https://www.ukri.org/apply-for-funding/future-research-and-innovation-funding-opportunities/</x:t>
  </x:si>
  <x:si>
    <x:t xml:space="preserve">UKRI future</x:t>
  </x:si>
  <x:si>
    <x:t xml:space="preserve">FORTHCOMING</x:t>
  </x:si>
  <x:si>
    <x:t xml:space="preserve">Oct 2026</x:t>
  </x:si>
  <x:si>
    <x:t xml:space="preserve">UKRI / NERC</x:t>
  </x:si>
  <x:si>
    <x:t xml:space="preserve">What Works Centre for a climate resilient UK</x:t>
  </x:si>
  <x:si>
    <x:t xml:space="preserve">Centre / evidence synthesis</x:t>
  </x:si>
  <x:si>
    <x:t xml:space="preserve">Total fund £26.4m</x:t>
  </x:si>
  <x:si>
    <x:t xml:space="preserve">Details at launch</x:t>
  </x:si>
  <x:si>
    <x:t xml:space="preserve">Potential major role for statistics in evidence synthesis, uncertainty, evaluation and climate adaptation decision support.</x:t>
  </x:si>
  <x:si>
    <x:t xml:space="preserve">Climate; evidence; policy</x:t>
  </x:si>
  <x:si>
    <x:t xml:space="preserve">Large consortium/centre opportunity.</x:t>
  </x:si>
  <x:si>
    <x:t xml:space="preserve">NERC Climate Adaptation ICURe Discover</x:t>
  </x:si>
  <x:si>
    <x:t xml:space="preserve">Innovation / market exploration</x:t>
  </x:si>
  <x:si>
    <x:t xml:space="preserve">Maximum award £2,500; 9-week part-time online programme</x:t>
  </x:si>
  <x:si>
    <x:t xml:space="preserve">Researchers/technicians with climate-adaptation ideas; final details at launch</x:t>
  </x:si>
  <x:si>
    <x:t xml:space="preserve">Relevant for translating statistical tools/models for climate adaptation into user-facing applications.</x:t>
  </x:si>
  <x:si>
    <x:t xml:space="preserve">Climate; innovation; impact</x:t>
  </x:si>
  <x:si>
    <x:t xml:space="preserve">Small but potentially useful impact/commercialisation route.</x:t>
  </x:si>
  <x:si>
    <x:t xml:space="preserve">Nov 2026</x:t>
  </x:si>
  <x:si>
    <x:t xml:space="preserve">Policy Fellowships</x:t>
  </x:si>
  <x:si>
    <x:t xml:space="preserve">Policy fellowship</x:t>
  </x:si>
  <x:si>
    <x:t xml:space="preserve">Award depends on partnership</x:t>
  </x:si>
  <x:si>
    <x:t xml:space="preserve">Early- and mid-career researchers; embedded in UK/devolved government; final details at launch</x:t>
  </x:si>
  <x:si>
    <x:t xml:space="preserve">Excellent route for statisticians interested in evidence, data and policy methodology.</x:t>
  </x:si>
  <x:si>
    <x:t xml:space="preserve">Policy; fellowship; data</x:t>
  </x:si>
  <x:si>
    <x:t xml:space="preserve">Plan-ahead opportunity.</x:t>
  </x:si>
  <x:si>
    <x:t xml:space="preserve">UKRI / EPSRC</x:t>
  </x:si>
  <x:si>
    <x:t xml:space="preserve">UKRI Research on Research Security Hub</x:t>
  </x:si>
  <x:si>
    <x:t xml:space="preserve">Research hub</x:t>
  </x:si>
  <x:si>
    <x:t xml:space="preserve">Funding TBC</x:t>
  </x:si>
  <x:si>
    <x:t xml:space="preserve">Final eligibility at launch</x:t>
  </x:si>
  <x:si>
    <x:t xml:space="preserve">Possible methodological role for statistics/data science in evidence generation and research-security analytics.</x:t>
  </x:si>
  <x:si>
    <x:t xml:space="preserve">Data; methods; security</x:t>
  </x:si>
  <x:si>
    <x:t xml:space="preserve">Consortium-scale and more peripheral to core Stats.</x:t>
  </x:si>
  <x:si>
    <x:t xml:space="preserve">Dec 2026</x:t>
  </x:si>
  <x:si>
    <x:t xml:space="preserve">Frontier AI research and development consortia</x:t>
  </x:si>
  <x:si>
    <x:t xml:space="preserve">R&amp;D consortium</x:t>
  </x:si>
  <x:si>
    <x:t xml:space="preserve">Total fund £50m; up to 10 awards</x:t>
  </x:si>
  <x:si>
    <x:t xml:space="preserve">Final details at launch; likely consortium/innovation focused</x:t>
  </x:si>
  <x:si>
    <x:t xml:space="preserve">Potentially relevant to ML/AI researchers, especially methodological work within larger consortia.</x:t>
  </x:si>
  <x:si>
    <x:t xml:space="preserve">AI/ML; consortium</x:t>
  </x:si>
  <x:si>
    <x:t xml:space="preserve">Monitor for academic eligibility and scope.</x:t>
  </x:si>
  <x:si>
    <x:t xml:space="preserve">Climate Adaptation, Environment, and Resilience: Ice-free Arctic Ocean</x:t>
  </x:si>
  <x:si>
    <x:t xml:space="preserve">Total fund £10m</x:t>
  </x:si>
  <x:si>
    <x:t xml:space="preserve">Final details at launch</x:t>
  </x:si>
  <x:si>
    <x:t xml:space="preserve">Potential fit for environmental/spatio-temporal statistics, extremes, data fusion and uncertainty quantification.</x:t>
  </x:si>
  <x:si>
    <x:t xml:space="preserve">Environment; climate; extremes</x:t>
  </x:si>
  <x:si>
    <x:t xml:space="preserve">Likely interdisciplinary consortium opportunity.</x:t>
  </x:si>
  <x:si>
    <x:t xml:space="preserve">Feb 2027</x:t>
  </x:si>
  <x:si>
    <x:t xml:space="preserve">Future Leaders Fellowships: round 12</x:t>
  </x:si>
  <x:si>
    <x:t xml:space="preserve">Total fund around £110m; previous fellowships £300k to &gt;£2m</x:t>
  </x:si>
  <x:si>
    <x:t xml:space="preserve">Personal awards; detailed eligibility at launch</x:t>
  </x:si>
  <x:si>
    <x:t xml:space="preserve">Major cross-disciplinary fellowship route for future research/innovation leaders in Statistics.</x:t>
  </x:si>
  <x:si>
    <x:t xml:space="preserve">Fellowship; all disciplines</x:t>
  </x:si>
  <x:si>
    <x:t xml:space="preserve">Important plan-ahead opportunity; likely internal selection at UofG—confirm when launched.</x:t>
  </x:si>
  <x:si>
    <x:t xml:space="preserve">University of Glasgow</x:t>
  </x:si>
  <x:si>
    <x:t xml:space="preserve">MedTech Innovation Fund</x:t>
  </x:si>
  <x:si>
    <x:t xml:space="preserve">Innovation / commercialisation</x:t>
  </x:si>
  <x:si>
    <x:t xml:space="preserve">See UofG current-round guidance</x:t>
  </x:si>
  <x:si>
    <x:t xml:space="preserve">UofG/GCU staff with salary support to 31 Jul 2027; healthcare/MedTech commercialisation focus</x:t>
  </x:si>
  <x:si>
    <x:t xml:space="preserve">Relevant to health statistics/AI where there is a device, diagnostic, software or commercialisable healthcare innovation.</x:t>
  </x:si>
  <x:si>
    <x:t xml:space="preserve">Health; AI/ML; innovation</x:t>
  </x:si>
  <x:si>
    <x:t xml:space="preserve">2026 round closed 18 Sep. Worth monitoring annually; prior case studies include ML and optimisation.</x:t>
  </x:si>
  <x:si>
    <x:t xml:space="preserve">https://www.gla.ac.uk/myglasgow/ris/ieed/innovation/innovationfunds/medtechinnovationfund/</x:t>
  </x:si>
  <x:si>
    <x:t xml:space="preserve">CLOSED – monitor recurrence</x:t>
  </x:si>
  <x:si>
    <x:t xml:space="preserve">SWIFT / EPSRC</x:t>
  </x:si>
  <x:si>
    <x:t xml:space="preserve">SWIFT FlexiFund</x:t>
  </x:si>
  <x:si>
    <x:t xml:space="preserve">Impact / translation</x:t>
  </x:si>
  <x:si>
    <x:t xml:space="preserve">Up to £50,000; 6–12 months</x:t>
  </x:si>
  <x:si>
    <x:t xml:space="preserve">UK HEI/research organisation lead + at least one relevant non-academic partner/user/beneficiary; Forth &amp; Tay offshore wind benefit</x:t>
  </x:si>
  <x:si>
    <x:t xml:space="preserve">Strong applied fit for wind-energy forecasting, reliability, environmental statistics and data-driven offshore-wind tools.</x:t>
  </x:si>
  <x:si>
    <x:t xml:space="preserve">Energy; wind; impact; industry</x:t>
  </x:si>
  <x:si>
    <x:t xml:space="preserve">EOI closed 21 Sep; invited full proposal deadline 10 Nov 2026. Monitor future rounds.</x:t>
  </x:si>
  <x:si>
    <x:t xml:space="preserve">https://swiftoffshore.co.uk/funding/</x:t>
  </x:si>
  <x:si>
    <x:t xml:space="preserve">CLOSED – invited stage continues</x:t>
  </x:si>
  <x:si>
    <x:t xml:space="preserve">Funding Finder for Statistics (FFS) – working master list</x:t>
  </x:si>
  <x:si>
    <x:t xml:space="preserve">Purpose</x:t>
  </x:si>
  <x:si>
    <x:t xml:space="preserve">Curated opportunities likely to be useful to the University of Glasgow Statistics group. Designed as a source table for the Research &amp; Scholarship SharePoint funding finder.</x:t>
  </x:si>
  <x:si>
    <x:t xml:space="preserve">Last reviewed</x:t>
  </x:si>
  <x:si>
    <x:t xml:space="preserve">29 September 2026</x:t>
  </x:si>
  <x:si>
    <x:t xml:space="preserve">Curation rule</x:t>
  </x:si>
  <x:si>
    <x:t xml:space="preserve">Included where Statistics/Mathematical Sciences can plausibly lead, where statisticians could be substantive interdisciplinary collaborators, or where the scheme supports career development, visits, events or international collaboration relevant to the group.</x:t>
  </x:si>
  <x:si>
    <x:t xml:space="preserve">Status definitions</x:t>
  </x:si>
  <x:si>
    <x:t xml:space="preserve">OPEN = live and accepting applications; FORTHCOMING = announced by funder but final call may not yet be live; CLOSED – monitor recurrence = useful recurring/strategic call retained for planning; DEADLINE PASSED = assigned automatically when an exact deadline is before today.</x:t>
  </x:si>
  <x:si>
    <x:t xml:space="preserve">Suggested SharePoint filters</x:t>
  </x:si>
  <x:si>
    <x:t xml:space="preserve">Status; deadline; funder; type; theme tags; career stage / restriction.</x:t>
  </x:si>
  <x:si>
    <x:t xml:space="preserve">Important note</x:t>
  </x:si>
  <x:si>
    <x:t xml:space="preserve">Deadlines and eligibility can change. The Source column should be treated as the authoritative link and checked before an application is prepared.</x:t>
  </x:si>
  <x:si>
    <x:t xml:space="preserve">Source reviewed</x:t>
  </x:si>
  <x:si>
    <x:t xml:space="preserve">CoSE Funding Finder (uploaded workbook)</x:t>
  </x:si>
  <x:si>
    <x:t xml:space="preserve">ARIA opportunity spaces and active programme calls</x:t>
  </x:si>
  <x:si>
    <x:t xml:space="preserve">London Mathematical Society grants + deadline calendar</x:t>
  </x:si>
  <x:si>
    <x:t xml:space="preserve">Royal Society of Edinburgh Research Awards + autumn 2026 summary</x:t>
  </x:si>
  <x:si>
    <x:t xml:space="preserve">UKRI future research and innovation funding opportunities timeline (correct as of Sep 2026)</x:t>
  </x:si>
  <x:si>
    <x:t xml:space="preserve">University of Glasgow MedTech Innovation Fund</x:t>
  </x:si>
  <x:si>
    <x:t xml:space="preserve">Not carried over wholesale</x:t>
  </x:si>
  <x:si>
    <x:t xml:space="preserve">The CoSE finder contains many chemistry, engineering and discipline-specific prizes/calls that are not realistic Statistics opportunities. The FFS deliberately keeps only cross-cutting/core mathematical sciences opportunities and targeted application calls with a credible Statistics role.</x:t>
  </x:si>
  <x:si>
    <x:t xml:space="preserve">Email draft workflow</x:t>
  </x:si>
  <x:si>
    <x:t xml:space="preserve">Use the final six columns of the Funding opportunities table to prepare an Outlook email without sending it automatically.</x:t>
  </x:si>
  <x:si>
    <x:t xml:space="preserve">Step 1</x:t>
  </x:si>
  <x:si>
    <x:t xml:space="preserve">Set Notify? to Yes on the opportunity you want to announce.</x:t>
  </x:si>
  <x:si>
    <x:t xml:space="preserve">Step 2</x:t>
  </x:si>
  <x:si>
    <x:t xml:space="preserve">Review the generated Email subject and Email body.</x:t>
  </x:si>
  <x:si>
    <x:t xml:space="preserve">Step 3</x:t>
  </x:si>
  <x:si>
    <x:t xml:space="preserve">Copy the subject and body into Outlook, then copy the two hyperlink cells using Keep Source Formatting.</x:t>
  </x:si>
  <x:si>
    <x:t xml:space="preserve">Step 4</x:t>
  </x:si>
  <x:si>
    <x:t xml:space="preserve">Review and send the message manually, then enter the date in Notification date.</x:t>
  </x:si>
</x:sst>
</file>

<file path=xl/styles.xml><?xml version="1.0" encoding="utf-8"?>
<x:styleSheet xmlns:x="http://schemas.openxmlformats.org/spreadsheetml/2006/main">
  <x:numFmts count="1">
    <x:numFmt numFmtId="164" formatCode="dd\ mmm\ yyyy"/>
  </x:numFmts>
  <x:fonts count="13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name val="Carlito"/>
    </x:font>
    <x:font>
      <x:sz val="11"/>
      <x:color rgb="FF7F6000"/>
      <x:name val="Arial"/>
    </x:font>
    <x:font>
      <x:sz val="11"/>
      <x:color rgb="FF1F4E78"/>
      <x:name val="Arial"/>
    </x:font>
    <x:font>
      <x:b/>
      <x:sz val="11"/>
      <x:color rgb="FFFFFFFF"/>
      <x:name val="Arial"/>
    </x:font>
    <x:font>
      <x:b/>
      <x:sz val="11"/>
      <x:color rgb="FF17365D"/>
      <x:name val="Arial"/>
    </x:font>
    <x:font>
      <x:sz val="11"/>
      <x:color rgb="FF222222"/>
      <x:name val="Arial"/>
    </x:font>
    <x:font>
      <x:b/>
      <x:sz val="11"/>
      <x:color rgb="FF990000"/>
      <x:name val="Arial"/>
    </x:font>
    <x:font>
      <x:b/>
      <x:sz val="11"/>
      <x:color rgb="FFFFFFFF"/>
      <x:name val="Arial"/>
    </x:font>
    <x:font>
      <x:b/>
      <x:sz val="11"/>
      <x:color rgb="FF38761D"/>
      <x:name val="Arial"/>
    </x:font>
    <x:font>
      <x:b/>
      <x:sz val="11"/>
      <x:color rgb="FF7F6000"/>
      <x:name val="Arial"/>
    </x:font>
  </x:fonts>
  <x:fills count="13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EAF2F8"/>
      </x:patternFill>
    </x:fill>
    <x:fill>
      <x:patternFill patternType="solid">
        <x:fgColor rgb="FF17365D"/>
      </x:patternFill>
    </x:fill>
    <x:fill>
      <x:patternFill patternType="solid">
        <x:fgColor rgb="FFF4CCCC"/>
      </x:patternFill>
    </x:fill>
    <x:fill>
      <x:patternFill patternType="solid">
        <x:fgColor rgb="FFF4CCCC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</x:fills>
  <x:borders count="1">
    <x:border/>
  </x:borders>
  <x:cellStyleXfs count="1">
    <x:xf numFmtId="0" fontId="0" fillId="0" borderId="0"/>
  </x:cellStyleXfs>
  <x:cellXfs count="23">
    <x:xf numFmtId="0" fontId="0" fillId="0" borderId="0" xfId="0"/>
    <x:xf numFmtId="0" fontId="1" fillId="2" borderId="0" xfId="0" applyFont="1" applyFill="1" applyAlignment="1">
      <x:alignment vertical="center" wrapText="1"/>
    </x:xf>
    <x:xf numFmtId="0" fontId="0" fillId="0" borderId="0" xfId="0" applyAlignment="1">
      <x:alignment wrapText="1"/>
    </x:xf>
    <x:xf numFmtId="164" fontId="0" fillId="0" borderId="0" xfId="0" applyNumberFormat="1" applyAlignment="1">
      <x:alignment wrapText="1"/>
    </x:xf>
    <x:xf numFmtId="0" fontId="3" fillId="3" borderId="0" xfId="0" applyFont="1" applyFill="1" applyAlignment="1">
      <x:alignment vertical="top" wrapText="1"/>
    </x:xf>
    <x:xf numFmtId="0" fontId="8" fillId="0" borderId="0" xfId="0" applyFont="1" applyAlignment="1">
      <x:alignment vertical="top" wrapText="1"/>
    </x:xf>
    <x:xf numFmtId="0" fontId="6" fillId="4" borderId="0" xfId="0" applyFont="1" applyFill="1" applyAlignment="1">
      <x:alignment vertical="center" wrapText="1"/>
    </x:xf>
    <x:xf numFmtId="0" fontId="7" fillId="5" borderId="0" xfId="0" applyFont="1" applyFill="1" applyAlignment="1">
      <x:alignment vertical="top"/>
    </x:xf>
    <x:xf numFmtId="0" fontId="4" fillId="6" borderId="0" xfId="0" applyFont="1" applyFill="1" applyAlignment="1">
      <x:alignment horizontal="center" vertical="center"/>
    </x:xf>
    <x:xf numFmtId="0" fontId="5" fillId="7" borderId="0" xfId="0" applyFont="1" applyFill="1" applyAlignment="1">
      <x:alignment vertical="top"/>
    </x:xf>
    <x:xf numFmtId="164" fontId="5" fillId="7" borderId="0" xfId="0" applyNumberFormat="1" applyFont="1" applyFill="1" applyAlignment="1">
      <x:alignment horizontal="center" vertical="top"/>
    </x:xf>
    <x:xf numFmtId="164" fontId="4" fillId="6" borderId="0" xfId="0" applyNumberFormat="1" applyFont="1" applyFill="1" applyAlignment="1">
      <x:alignment horizontal="center" vertical="center"/>
    </x:xf>
    <x:xf numFmtId="0" fontId="6" fillId="8" borderId="0" xfId="0" applyFont="1" applyFill="1" applyAlignment="1">
      <x:alignment horizontal="center" vertical="center" wrapText="1"/>
    </x:xf>
    <x:xf numFmtId="0" fontId="9" fillId="9" borderId="0" xfId="0" applyFont="1" applyFill="1" applyAlignment="1">
      <x:alignment vertical="center" wrapText="1"/>
    </x:xf>
    <x:xf numFmtId="0" fontId="2" fillId="2" borderId="0" xfId="0" applyFont="1" applyFill="1" applyAlignment="1">
      <x:alignment wrapText="1"/>
    </x:xf>
    <x:xf numFmtId="0" fontId="10" fillId="8" borderId="0" xfId="0" applyFont="1" applyFill="1" applyAlignment="1">
      <x:alignment horizontal="center" vertical="center" wrapText="1"/>
    </x:xf>
    <x:xf numFmtId="0" fontId="9" fillId="10" borderId="0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 applyAlignment="1">
      <x:alignment wrapText="1"/>
    </x:xf>
    <x:xf numFmtId="0" fontId="11" fillId="11" borderId="0" xfId="0" applyNumberFormat="1" applyFont="1" applyFill="1" applyBorder="1" applyAlignment="1">
      <x:alignment wrapText="1"/>
    </x:xf>
    <x:xf numFmtId="0" fontId="11" fillId="11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 applyAlignment="1">
      <x:alignment wrapText="1"/>
    </x:xf>
    <x:xf numFmtId="0" fontId="12" fillId="12" borderId="0" xfId="0" applyNumberFormat="1" applyFont="1" applyFill="1" applyBorder="1" applyAlignment="1">
      <x:alignment wrapText="1"/>
    </x:xf>
    <x:xf numFmtId="0" fontId="12" fillId="12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5"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8761D"/>
      </x:font>
      <x:fill>
        <x:patternFill patternType="solid">
          <x:bgColor rgb="FFE2F0D9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595959"/>
      </x:font>
      <x:fill>
        <x:patternFill patternType="solid">
          <x:bgColor rgb="FFE7E6E6"/>
        </x:patternFill>
      </x:fill>
    </x:dxf>
    <x:dxf>
      <x:font>
        <x:b/>
        <x:color rgb="FF990000"/>
      </x:font>
      <x:fill>
        <x:patternFill patternType="solid"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19e9c03c6c7488c" /><Relationship Type="http://schemas.openxmlformats.org/officeDocument/2006/relationships/theme" Target="/xl/theme/theme1.xml" Id="R7e3b0fef1f3e400f" /><Relationship Type="http://schemas.openxmlformats.org/officeDocument/2006/relationships/sharedStrings" Target="/xl/sharedStrings.xml" Id="R8f5dcc30bc6a4f83" /><Relationship Type="http://schemas.openxmlformats.org/officeDocument/2006/relationships/worksheet" Target="/xl/worksheets/sheet1.xml" Id="Rc981d89a9e014432" /><Relationship Type="http://schemas.openxmlformats.org/officeDocument/2006/relationships/worksheet" Target="/xl/worksheets/sheet2.xml" Id="Rb04f1adb9c9f4d6f" /></Relationships>
</file>

<file path=xl/tables/table1.xml><?xml version="1.0" encoding="utf-8"?>
<x:table xmlns:x="http://schemas.openxmlformats.org/spreadsheetml/2006/main" id="1" name="FundingFinderStats" displayName="FundingFinderStats" ref="A1:S42" totalsRowShown="0">
  <x:autoFilter ref="A1:S42"/>
  <x:tableColumns count="19">
    <x:tableColumn id="1" name="Status"/>
    <x:tableColumn id="2" name="Deadline"/>
    <x:tableColumn id="3" name="Funder"/>
    <x:tableColumn id="4" name="Opportunity"/>
    <x:tableColumn id="5" name="Type"/>
    <x:tableColumn id="6" name="Funding / duration"/>
    <x:tableColumn id="7" name="Who can apply / key restriction"/>
    <x:tableColumn id="8" name="Why relevant to Statistics"/>
    <x:tableColumn id="9" name="Theme tags"/>
    <x:tableColumn id="10" name="Internal action / note"/>
    <x:tableColumn id="11" name="Source"/>
    <x:tableColumn id="12" name="Source list"/>
    <x:tableColumn id="13" name="Manual Status"/>
    <x:tableColumn id="14" name="Notify?"/>
    <x:tableColumn id="15" name="Email subject"/>
    <x:tableColumn id="16" name="Email body"/>
    <x:tableColumn id="17" name="Official opportunity link"/>
    <x:tableColumn id="18" name="Funding Finder link"/>
    <x:tableColumn id="19" name="Notification d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c41408dbb064834" /></Relationships>
</file>

<file path=xl/worksheets/sheet1.xml><?xml version="1.0" encoding="utf-8"?>
<x:worksheet xmlns:x="http://schemas.openxmlformats.org/spreadsheetml/2006/main">
  <x:sheetFormatPr baseColWidth="10" defaultColWidth="8.83203125" defaultRowHeight="14"/>
  <x:cols>
    <x:col min="1" max="1" width="18" customWidth="1"/>
    <x:col min="2" max="2" width="16" customWidth="1"/>
    <x:col min="3" max="3" width="22" customWidth="1"/>
    <x:col min="4" max="4" width="42" customWidth="1"/>
    <x:col min="5" max="5" width="22" customWidth="1"/>
    <x:col min="6" max="6" width="30" customWidth="1"/>
    <x:col min="7" max="7" width="40" customWidth="1"/>
    <x:col min="8" max="8" width="48" customWidth="1"/>
    <x:col min="9" max="9" width="28" customWidth="1"/>
    <x:col min="10" max="10" width="42" customWidth="1"/>
    <x:col min="11" max="11" width="50" customWidth="1"/>
    <x:col min="12" max="12" width="18" customWidth="1"/>
    <x:col min="13" max="13" width="27" customWidth="1"/>
    <x:col min="14" max="14" width="11" customWidth="1"/>
    <x:col min="15" max="15" width="32" customWidth="1"/>
    <x:col min="16" max="16" width="48" customWidth="1"/>
    <x:col min="17" max="17" width="24" customWidth="1"/>
    <x:col min="18" max="18" width="20" customWidth="1"/>
    <x:col min="19" max="19" width="17" customWidth="1"/>
  </x:cols>
  <x:sheetData>
    <x:row r="1" ht="60.25" customHeight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5" t="s">
        <x:v>12</x:v>
      </x:c>
      <x:c r="N1" s="12" t="s">
        <x:v>13</x:v>
      </x:c>
      <x:c r="O1" s="12" t="s">
        <x:v>14</x:v>
      </x:c>
      <x:c r="P1" s="12" t="s">
        <x:v>15</x:v>
      </x:c>
      <x:c r="Q1" s="12" t="s">
        <x:v>16</x:v>
      </x:c>
      <x:c r="R1" s="12" t="s">
        <x:v>17</x:v>
      </x:c>
      <x:c r="S1" s="12" t="s">
        <x:v>18</x:v>
      </x:c>
    </x:row>
    <x:row r="2" ht="30">
      <x:c r="A2" s="16" t="str">
        <x:f t="shared" ref="A2:A42" ca="1" si="0">IF(AND(ISNUMBER(B2),B2&lt;TODAY()),"DEADLINE PASSED",M2)</x:f>
        <x:v>DEADLINE PASSED</x:v>
      </x:c>
      <x:c r="B2" s="3">
        <x:v>46295</x:v>
      </x:c>
      <x:c r="C2" s="2" t="s">
        <x:v>19</x:v>
      </x:c>
      <x:c r="D2" s="2" t="s">
        <x:v>20</x:v>
      </x:c>
      <x:c r="E2" s="2" t="s">
        <x:v>21</x:v>
      </x:c>
      <x:c r="F2" s="2" t="s">
        <x:v>22</x:v>
      </x:c>
      <x:c r="G2" s="2" t="s">
        <x:v>23</x:v>
      </x:c>
      <x:c r="H2" s="2" t="s">
        <x:v>24</x:v>
      </x:c>
      <x:c r="I2" s="2" t="s">
        <x:v>25</x:v>
      </x:c>
      <x:c r="J2" s="2" t="s">
        <x:v>26</x:v>
      </x:c>
      <x:c r="K2" s="2" t="s">
        <x:v>27</x:v>
      </x:c>
      <x:c r="L2" s="2" t="s">
        <x:v>19</x:v>
      </x:c>
      <x:c r="M2" s="8" t="s">
        <x:v>28</x:v>
      </x:c>
      <x:c r="N2" s="8"/>
      <x:c r="O2" s="9" t="str">
        <x:f t="shared" ref="O2:O42" si="1">IF(N2&lt;&gt;"Yes","","New funding opportunity added: "&amp;D2)</x:f>
      </x:c>
      <x:c r="P2" s="9" t="str">
        <x:f t="shared" ref="P2:P42" si="2">IF(N2&lt;&gt;"Yes","","Hello,"&amp;CHAR(10)&amp;CHAR(10)&amp;"A new funding opportunity has been added to the Funding Finder for Statistics."&amp;CHAR(10)&amp;CHAR(10)&amp;D2&amp;CHAR(10)&amp;CHAR(10)&amp;"Funder: "&amp;C2&amp;CHAR(10)&amp;"Deadline: "&amp;IF(ISNUMBER(B2),TEXT(B2,"d mmmm yyyy"),B2)&amp;CHAR(10)&amp;"Funding and duration: "&amp;F2&amp;CHAR(10)&amp;CHAR(10)&amp;"Who can apply:"&amp;CHAR(10)&amp;G2&amp;CHAR(10)&amp;CHAR(10)&amp;"Why it may be relevant to Statistics:"&amp;CHAR(10)&amp;H2&amp;CHAR(10)&amp;CHAR(10)&amp;"Themes: "&amp;I2&amp;CHAR(10)&amp;CHAR(10)&amp;"Official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Q2" s="10" t="str">
        <x:f t="shared" ref="Q2:Q42" si="3">IF(N2&lt;&gt;"Yes","",HYPERLINK(K2,"View official opportunity"))</x:f>
      </x:c>
      <x:c r="R2" s="10" t="str">
        <x:f t="shared" ref="R2:R42" si="4">IF(N2&lt;&gt;"Yes","",HYPERLINK("https://uofgstats.github.io/research-and-scholarship/","Open Funding Finder"))</x:f>
      </x:c>
      <x:c r="S2" s="11"/>
    </x:row>
    <x:row r="3" ht="30">
      <x:c r="A3" s="16" t="str">
        <x:f t="shared" ca="1" si="0"/>
        <x:v>DEADLINE PASSED</x:v>
      </x:c>
      <x:c r="B3" s="3">
        <x:v>46295</x:v>
      </x:c>
      <x:c r="C3" s="2" t="s">
        <x:v>29</x:v>
      </x:c>
      <x:c r="D3" s="2" t="s">
        <x:v>30</x:v>
      </x:c>
      <x:c r="E3" s="2" t="s">
        <x:v>31</x:v>
      </x:c>
      <x:c r="F3" s="2" t="s">
        <x:v>32</x:v>
      </x:c>
      <x:c r="G3" s="2" t="s">
        <x:v>33</x:v>
      </x:c>
      <x:c r="H3" s="2" t="s">
        <x:v>34</x:v>
      </x:c>
      <x:c r="I3" s="2" t="s">
        <x:v>35</x:v>
      </x:c>
      <x:c r="J3" s="2" t="s">
        <x:v>36</x:v>
      </x:c>
      <x:c r="K3" s="2" t="s">
        <x:v>37</x:v>
      </x:c>
      <x:c r="L3" s="2" t="s">
        <x:v>29</x:v>
      </x:c>
      <x:c r="M3" s="8" t="s">
        <x:v>28</x:v>
      </x:c>
      <x:c r="N3" s="8"/>
      <x:c r="O3" s="9" t="str">
        <x:f t="shared" si="1"/>
      </x:c>
      <x:c r="P3" s="9" t="str">
        <x:f t="shared" si="2"/>
      </x:c>
      <x:c r="Q3" s="10" t="str">
        <x:f t="shared" si="3"/>
      </x:c>
      <x:c r="R3" s="10" t="str">
        <x:f t="shared" si="4"/>
      </x:c>
      <x:c r="S3" s="11"/>
    </x:row>
    <x:row r="4" ht="30">
      <x:c r="A4" s="19" t="str">
        <x:f t="shared" ca="1" si="0"/>
        <x:v>OPEN</x:v>
      </x:c>
      <x:c r="B4" s="3">
        <x:v>46296</x:v>
      </x:c>
      <x:c r="C4" s="2" t="s">
        <x:v>38</x:v>
      </x:c>
      <x:c r="D4" s="2" t="s">
        <x:v>39</x:v>
      </x:c>
      <x:c r="E4" s="2" t="s">
        <x:v>40</x:v>
      </x:c>
      <x:c r="F4" s="2" t="s">
        <x:v>41</x:v>
      </x:c>
      <x:c r="G4" s="2" t="s">
        <x:v>42</x:v>
      </x:c>
      <x:c r="H4" s="2" t="s">
        <x:v>43</x:v>
      </x:c>
      <x:c r="I4" s="2" t="s">
        <x:v>44</x:v>
      </x:c>
      <x:c r="J4" s="2" t="s">
        <x:v>45</x:v>
      </x:c>
      <x:c r="K4" s="2" t="s">
        <x:v>46</x:v>
      </x:c>
      <x:c r="L4" s="2" t="s">
        <x:v>19</x:v>
      </x:c>
      <x:c r="M4" s="8" t="s">
        <x:v>28</x:v>
      </x:c>
      <x:c r="N4" s="8"/>
      <x:c r="O4" s="9" t="str">
        <x:f t="shared" si="1"/>
      </x:c>
      <x:c r="P4" s="9" t="str">
        <x:f t="shared" si="2"/>
      </x:c>
      <x:c r="Q4" s="10" t="str">
        <x:f t="shared" si="3"/>
      </x:c>
      <x:c r="R4" s="10" t="str">
        <x:f t="shared" si="4"/>
      </x:c>
      <x:c r="S4" s="11"/>
    </x:row>
    <x:row r="5" ht="45">
      <x:c r="A5" s="19" t="str">
        <x:f t="shared" ca="1" si="0"/>
        <x:v>OPEN</x:v>
      </x:c>
      <x:c r="B5" s="3">
        <x:v>46304</x:v>
      </x:c>
      <x:c r="C5" s="2" t="s">
        <x:v>29</x:v>
      </x:c>
      <x:c r="D5" s="2" t="s">
        <x:v>47</x:v>
      </x:c>
      <x:c r="E5" s="2" t="s">
        <x:v>31</x:v>
      </x:c>
      <x:c r="F5" s="2" t="s">
        <x:v>48</x:v>
      </x:c>
      <x:c r="G5" s="2" t="s">
        <x:v>49</x:v>
      </x:c>
      <x:c r="H5" s="2" t="s">
        <x:v>50</x:v>
      </x:c>
      <x:c r="I5" s="2" t="s">
        <x:v>51</x:v>
      </x:c>
      <x:c r="J5" s="2" t="s">
        <x:v>52</x:v>
      </x:c>
      <x:c r="K5" s="2" t="s">
        <x:v>53</x:v>
      </x:c>
      <x:c r="L5" s="2" t="s">
        <x:v>29</x:v>
      </x:c>
      <x:c r="M5" s="8" t="s">
        <x:v>28</x:v>
      </x:c>
      <x:c r="N5" s="8"/>
      <x:c r="O5" s="9" t="str">
        <x:f t="shared" si="1"/>
      </x:c>
      <x:c r="P5" s="9" t="str">
        <x:f t="shared" si="2"/>
      </x:c>
      <x:c r="Q5" s="10" t="str">
        <x:f t="shared" si="3"/>
      </x:c>
      <x:c r="R5" s="10" t="str">
        <x:f t="shared" si="4"/>
      </x:c>
      <x:c r="S5" s="11"/>
    </x:row>
    <x:row r="6" ht="30">
      <x:c r="A6" s="19" t="str">
        <x:f t="shared" ca="1" si="0"/>
        <x:v>OPEN</x:v>
      </x:c>
      <x:c r="B6" s="3">
        <x:v>46310</x:v>
      </x:c>
      <x:c r="C6" s="2" t="s">
        <x:v>19</x:v>
      </x:c>
      <x:c r="D6" s="2" t="s">
        <x:v>54</x:v>
      </x:c>
      <x:c r="E6" s="2" t="s">
        <x:v>55</x:v>
      </x:c>
      <x:c r="F6" s="2" t="s">
        <x:v>56</x:v>
      </x:c>
      <x:c r="G6" s="2" t="s">
        <x:v>57</x:v>
      </x:c>
      <x:c r="H6" s="2" t="s">
        <x:v>58</x:v>
      </x:c>
      <x:c r="I6" s="2" t="s">
        <x:v>59</x:v>
      </x:c>
      <x:c r="J6" s="2" t="s">
        <x:v>60</x:v>
      </x:c>
      <x:c r="K6" s="2" t="s">
        <x:v>27</x:v>
      </x:c>
      <x:c r="L6" s="2" t="s">
        <x:v>19</x:v>
      </x:c>
      <x:c r="M6" s="8" t="s">
        <x:v>28</x:v>
      </x:c>
      <x:c r="N6" s="8"/>
      <x:c r="O6" s="9" t="str">
        <x:f t="shared" si="1"/>
      </x:c>
      <x:c r="P6" s="9" t="str">
        <x:f t="shared" si="2"/>
      </x:c>
      <x:c r="Q6" s="10" t="str">
        <x:f t="shared" si="3"/>
      </x:c>
      <x:c r="R6" s="10" t="str">
        <x:f t="shared" si="4"/>
      </x:c>
      <x:c r="S6" s="11"/>
    </x:row>
    <x:row r="7" ht="30">
      <x:c r="A7" s="19" t="str">
        <x:f t="shared" ca="1" si="0"/>
        <x:v>OPEN</x:v>
      </x:c>
      <x:c r="B7" s="3">
        <x:v>46310</x:v>
      </x:c>
      <x:c r="C7" s="2" t="s">
        <x:v>19</x:v>
      </x:c>
      <x:c r="D7" s="2" t="s">
        <x:v>61</x:v>
      </x:c>
      <x:c r="E7" s="2" t="s">
        <x:v>62</x:v>
      </x:c>
      <x:c r="F7" s="2" t="s">
        <x:v>63</x:v>
      </x:c>
      <x:c r="G7" s="2" t="s">
        <x:v>64</x:v>
      </x:c>
      <x:c r="H7" s="2" t="s">
        <x:v>65</x:v>
      </x:c>
      <x:c r="I7" s="2" t="s">
        <x:v>66</x:v>
      </x:c>
      <x:c r="J7" s="2" t="s">
        <x:v>60</x:v>
      </x:c>
      <x:c r="K7" s="2" t="s">
        <x:v>27</x:v>
      </x:c>
      <x:c r="L7" s="2" t="s">
        <x:v>19</x:v>
      </x:c>
      <x:c r="M7" s="8" t="s">
        <x:v>28</x:v>
      </x:c>
      <x:c r="N7" s="8"/>
      <x:c r="O7" s="9" t="str">
        <x:f t="shared" si="1"/>
      </x:c>
      <x:c r="P7" s="9" t="str">
        <x:f t="shared" si="2"/>
      </x:c>
      <x:c r="Q7" s="10" t="str">
        <x:f t="shared" si="3"/>
      </x:c>
      <x:c r="R7" s="10" t="str">
        <x:f t="shared" si="4"/>
      </x:c>
      <x:c r="S7" s="11"/>
    </x:row>
    <x:row r="8" ht="45">
      <x:c r="A8" s="19" t="str">
        <x:f t="shared" ca="1" si="0"/>
        <x:v>OPEN</x:v>
      </x:c>
      <x:c r="B8" s="3">
        <x:v>46310</x:v>
      </x:c>
      <x:c r="C8" s="2" t="s">
        <x:v>19</x:v>
      </x:c>
      <x:c r="D8" s="2" t="s">
        <x:v>67</x:v>
      </x:c>
      <x:c r="E8" s="2" t="s">
        <x:v>68</x:v>
      </x:c>
      <x:c r="F8" s="2" t="s">
        <x:v>69</x:v>
      </x:c>
      <x:c r="G8" s="2" t="s">
        <x:v>70</x:v>
      </x:c>
      <x:c r="H8" s="2" t="s">
        <x:v>71</x:v>
      </x:c>
      <x:c r="I8" s="2" t="s">
        <x:v>72</x:v>
      </x:c>
      <x:c r="J8" s="2" t="s">
        <x:v>73</x:v>
      </x:c>
      <x:c r="K8" s="2" t="s">
        <x:v>74</x:v>
      </x:c>
      <x:c r="L8" s="2" t="s">
        <x:v>19</x:v>
      </x:c>
      <x:c r="M8" s="8" t="s">
        <x:v>28</x:v>
      </x:c>
      <x:c r="N8" s="8"/>
      <x:c r="O8" s="9" t="str">
        <x:f t="shared" si="1"/>
      </x:c>
      <x:c r="P8" s="9" t="str">
        <x:f t="shared" si="2"/>
      </x:c>
      <x:c r="Q8" s="10" t="str">
        <x:f t="shared" si="3"/>
      </x:c>
      <x:c r="R8" s="10" t="str">
        <x:f t="shared" si="4"/>
      </x:c>
      <x:c r="S8" s="11"/>
    </x:row>
    <x:row r="9" ht="30">
      <x:c r="A9" s="19" t="str">
        <x:f t="shared" ca="1" si="0"/>
        <x:v>OPEN</x:v>
      </x:c>
      <x:c r="B9" s="3">
        <x:v>46316</x:v>
      </x:c>
      <x:c r="C9" s="2" t="s">
        <x:v>75</x:v>
      </x:c>
      <x:c r="D9" s="2" t="s">
        <x:v>76</x:v>
      </x:c>
      <x:c r="E9" s="2" t="s">
        <x:v>77</x:v>
      </x:c>
      <x:c r="F9" s="2" t="s">
        <x:v>78</x:v>
      </x:c>
      <x:c r="G9" s="2" t="s">
        <x:v>79</x:v>
      </x:c>
      <x:c r="H9" s="2" t="s">
        <x:v>80</x:v>
      </x:c>
      <x:c r="I9" s="2" t="s">
        <x:v>81</x:v>
      </x:c>
      <x:c r="J9" s="2" t="s">
        <x:v>82</x:v>
      </x:c>
      <x:c r="K9" s="2" t="s">
        <x:v>83</x:v>
      </x:c>
      <x:c r="L9" s="2" t="s">
        <x:v>75</x:v>
      </x:c>
      <x:c r="M9" s="8" t="s">
        <x:v>28</x:v>
      </x:c>
      <x:c r="N9" s="8"/>
      <x:c r="O9" s="9" t="str">
        <x:f t="shared" si="1"/>
      </x:c>
      <x:c r="P9" s="9" t="str">
        <x:f t="shared" si="2"/>
      </x:c>
      <x:c r="Q9" s="10" t="str">
        <x:f t="shared" si="3"/>
      </x:c>
      <x:c r="R9" s="10" t="str">
        <x:f t="shared" si="4"/>
      </x:c>
      <x:c r="S9" s="11"/>
    </x:row>
    <x:row r="10" ht="30">
      <x:c r="A10" s="19" t="str">
        <x:f t="shared" ca="1" si="0"/>
        <x:v>OPEN</x:v>
      </x:c>
      <x:c r="B10" s="3">
        <x:v>46316</x:v>
      </x:c>
      <x:c r="C10" s="2" t="s">
        <x:v>75</x:v>
      </x:c>
      <x:c r="D10" s="2" t="s">
        <x:v>84</x:v>
      </x:c>
      <x:c r="E10" s="2" t="s">
        <x:v>85</x:v>
      </x:c>
      <x:c r="F10" s="2" t="s">
        <x:v>86</x:v>
      </x:c>
      <x:c r="G10" s="2" t="s">
        <x:v>87</x:v>
      </x:c>
      <x:c r="H10" s="2" t="s">
        <x:v>88</x:v>
      </x:c>
      <x:c r="I10" s="2" t="s">
        <x:v>89</x:v>
      </x:c>
      <x:c r="J10" s="2" t="s">
        <x:v>90</x:v>
      </x:c>
      <x:c r="K10" s="2" t="s">
        <x:v>91</x:v>
      </x:c>
      <x:c r="L10" s="2" t="s">
        <x:v>75</x:v>
      </x:c>
      <x:c r="M10" s="8" t="s">
        <x:v>28</x:v>
      </x:c>
      <x:c r="N10" s="8"/>
      <x:c r="O10" s="9" t="str">
        <x:f t="shared" si="1"/>
      </x:c>
      <x:c r="P10" s="9" t="str">
        <x:f t="shared" si="2"/>
      </x:c>
      <x:c r="Q10" s="10" t="str">
        <x:f t="shared" si="3"/>
      </x:c>
      <x:c r="R10" s="10" t="str">
        <x:f t="shared" si="4"/>
      </x:c>
      <x:c r="S10" s="11"/>
    </x:row>
    <x:row r="11" ht="30">
      <x:c r="A11" s="19" t="str">
        <x:f t="shared" ca="1" si="0"/>
        <x:v>OPEN</x:v>
      </x:c>
      <x:c r="B11" s="3">
        <x:v>46316</x:v>
      </x:c>
      <x:c r="C11" s="2" t="s">
        <x:v>75</x:v>
      </x:c>
      <x:c r="D11" s="2" t="s">
        <x:v>92</x:v>
      </x:c>
      <x:c r="E11" s="2" t="s">
        <x:v>93</x:v>
      </x:c>
      <x:c r="F11" s="2" t="s">
        <x:v>94</x:v>
      </x:c>
      <x:c r="G11" s="2" t="s">
        <x:v>95</x:v>
      </x:c>
      <x:c r="H11" s="2" t="s">
        <x:v>96</x:v>
      </x:c>
      <x:c r="I11" s="2" t="s">
        <x:v>97</x:v>
      </x:c>
      <x:c r="J11" s="2" t="s">
        <x:v>98</x:v>
      </x:c>
      <x:c r="K11" s="2" t="s">
        <x:v>99</x:v>
      </x:c>
      <x:c r="L11" s="2" t="s">
        <x:v>75</x:v>
      </x:c>
      <x:c r="M11" s="8" t="s">
        <x:v>28</x:v>
      </x:c>
      <x:c r="N11" s="8"/>
      <x:c r="O11" s="9" t="str">
        <x:f t="shared" si="1"/>
      </x:c>
      <x:c r="P11" s="9" t="str">
        <x:f t="shared" si="2"/>
      </x:c>
      <x:c r="Q11" s="10" t="str">
        <x:f t="shared" si="3"/>
      </x:c>
      <x:c r="R11" s="10" t="str">
        <x:f t="shared" si="4"/>
      </x:c>
      <x:c r="S11" s="11"/>
    </x:row>
    <x:row r="12" ht="30">
      <x:c r="A12" s="19" t="str">
        <x:f t="shared" ca="1" si="0"/>
        <x:v>OPEN</x:v>
      </x:c>
      <x:c r="B12" s="3">
        <x:v>46316</x:v>
      </x:c>
      <x:c r="C12" s="2" t="s">
        <x:v>75</x:v>
      </x:c>
      <x:c r="D12" s="2" t="s">
        <x:v>100</x:v>
      </x:c>
      <x:c r="E12" s="2" t="s">
        <x:v>101</x:v>
      </x:c>
      <x:c r="F12" s="2" t="s">
        <x:v>102</x:v>
      </x:c>
      <x:c r="G12" s="2" t="s">
        <x:v>103</x:v>
      </x:c>
      <x:c r="H12" s="2" t="s">
        <x:v>104</x:v>
      </x:c>
      <x:c r="I12" s="2" t="s">
        <x:v>105</x:v>
      </x:c>
      <x:c r="J12" s="2" t="s">
        <x:v>106</x:v>
      </x:c>
      <x:c r="K12" s="2" t="s">
        <x:v>107</x:v>
      </x:c>
      <x:c r="L12" s="2" t="s">
        <x:v>75</x:v>
      </x:c>
      <x:c r="M12" s="8" t="s">
        <x:v>28</x:v>
      </x:c>
      <x:c r="N12" s="8"/>
      <x:c r="O12" s="9" t="str">
        <x:f t="shared" si="1"/>
      </x:c>
      <x:c r="P12" s="9" t="str">
        <x:f t="shared" si="2"/>
      </x:c>
      <x:c r="Q12" s="10" t="str">
        <x:f t="shared" si="3"/>
      </x:c>
      <x:c r="R12" s="10" t="str">
        <x:f t="shared" si="4"/>
      </x:c>
      <x:c r="S12" s="11"/>
    </x:row>
    <x:row r="13" ht="30">
      <x:c r="A13" s="19" t="str">
        <x:f t="shared" ca="1" si="0"/>
        <x:v>OPEN</x:v>
      </x:c>
      <x:c r="B13" s="3">
        <x:v>46316</x:v>
      </x:c>
      <x:c r="C13" s="2" t="s">
        <x:v>75</x:v>
      </x:c>
      <x:c r="D13" s="2" t="s">
        <x:v>108</x:v>
      </x:c>
      <x:c r="E13" s="2" t="s">
        <x:v>109</x:v>
      </x:c>
      <x:c r="F13" s="2" t="s">
        <x:v>110</x:v>
      </x:c>
      <x:c r="G13" s="2" t="s">
        <x:v>111</x:v>
      </x:c>
      <x:c r="H13" s="2" t="s">
        <x:v>112</x:v>
      </x:c>
      <x:c r="I13" s="2" t="s">
        <x:v>113</x:v>
      </x:c>
      <x:c r="J13" s="2" t="s">
        <x:v>114</x:v>
      </x:c>
      <x:c r="K13" s="2" t="s">
        <x:v>115</x:v>
      </x:c>
      <x:c r="L13" s="2" t="s">
        <x:v>75</x:v>
      </x:c>
      <x:c r="M13" s="8" t="s">
        <x:v>28</x:v>
      </x:c>
      <x:c r="N13" s="8"/>
      <x:c r="O13" s="9" t="str">
        <x:f t="shared" si="1"/>
      </x:c>
      <x:c r="P13" s="9" t="str">
        <x:f t="shared" si="2"/>
      </x:c>
      <x:c r="Q13" s="10" t="str">
        <x:f t="shared" si="3"/>
      </x:c>
      <x:c r="R13" s="10" t="str">
        <x:f t="shared" si="4"/>
      </x:c>
      <x:c r="S13" s="11"/>
    </x:row>
    <x:row r="14" ht="45">
      <x:c r="A14" s="19" t="str">
        <x:f t="shared" ca="1" si="0"/>
        <x:v>OPEN</x:v>
      </x:c>
      <x:c r="B14" s="3">
        <x:v>46316</x:v>
      </x:c>
      <x:c r="C14" s="2" t="s">
        <x:v>75</x:v>
      </x:c>
      <x:c r="D14" s="2" t="s">
        <x:v>116</x:v>
      </x:c>
      <x:c r="E14" s="2" t="s">
        <x:v>101</x:v>
      </x:c>
      <x:c r="F14" s="2" t="s">
        <x:v>117</x:v>
      </x:c>
      <x:c r="G14" s="2" t="s">
        <x:v>118</x:v>
      </x:c>
      <x:c r="H14" s="2" t="s">
        <x:v>119</x:v>
      </x:c>
      <x:c r="I14" s="2" t="s">
        <x:v>120</x:v>
      </x:c>
      <x:c r="J14" s="2" t="s">
        <x:v>121</x:v>
      </x:c>
      <x:c r="K14" s="2" t="s">
        <x:v>122</x:v>
      </x:c>
      <x:c r="L14" s="2" t="s">
        <x:v>75</x:v>
      </x:c>
      <x:c r="M14" s="8" t="s">
        <x:v>28</x:v>
      </x:c>
      <x:c r="N14" s="8"/>
      <x:c r="O14" s="9" t="str">
        <x:f t="shared" si="1"/>
      </x:c>
      <x:c r="P14" s="9" t="str">
        <x:f t="shared" si="2"/>
      </x:c>
      <x:c r="Q14" s="10" t="str">
        <x:f t="shared" si="3"/>
      </x:c>
      <x:c r="R14" s="10" t="str">
        <x:f t="shared" si="4"/>
      </x:c>
      <x:c r="S14" s="11"/>
    </x:row>
    <x:row r="15" ht="45">
      <x:c r="A15" s="19" t="str">
        <x:f t="shared" ca="1" si="0"/>
        <x:v>OPEN</x:v>
      </x:c>
      <x:c r="B15" s="3">
        <x:v>46323</x:v>
      </x:c>
      <x:c r="C15" s="2" t="s">
        <x:v>123</x:v>
      </x:c>
      <x:c r="D15" s="2" t="s">
        <x:v>124</x:v>
      </x:c>
      <x:c r="E15" s="2" t="s">
        <x:v>125</x:v>
      </x:c>
      <x:c r="F15" s="2" t="s">
        <x:v>126</x:v>
      </x:c>
      <x:c r="G15" s="2" t="s">
        <x:v>127</x:v>
      </x:c>
      <x:c r="H15" s="2" t="s">
        <x:v>128</x:v>
      </x:c>
      <x:c r="I15" s="2" t="s">
        <x:v>129</x:v>
      </x:c>
      <x:c r="J15" s="2" t="s">
        <x:v>130</x:v>
      </x:c>
      <x:c r="K15" s="2" t="s">
        <x:v>131</x:v>
      </x:c>
      <x:c r="L15" s="2" t="s">
        <x:v>132</x:v>
      </x:c>
      <x:c r="M15" s="8" t="s">
        <x:v>28</x:v>
      </x:c>
      <x:c r="N15" s="8"/>
      <x:c r="O15" s="9" t="str">
        <x:f t="shared" si="1"/>
      </x:c>
      <x:c r="P15" s="9" t="str">
        <x:f t="shared" si="2"/>
      </x:c>
      <x:c r="Q15" s="10" t="str">
        <x:f t="shared" si="3"/>
      </x:c>
      <x:c r="R15" s="10" t="str">
        <x:f t="shared" si="4"/>
      </x:c>
      <x:c r="S15" s="11"/>
    </x:row>
    <x:row r="16" ht="30">
      <x:c r="A16" s="19" t="str">
        <x:f t="shared" ca="1" si="0"/>
        <x:v>OPEN</x:v>
      </x:c>
      <x:c r="B16" s="3">
        <x:v>46328</x:v>
      </x:c>
      <x:c r="C16" s="2" t="s">
        <x:v>133</x:v>
      </x:c>
      <x:c r="D16" s="2" t="s">
        <x:v>134</x:v>
      </x:c>
      <x:c r="E16" s="2" t="s">
        <x:v>135</x:v>
      </x:c>
      <x:c r="F16" s="2" t="s">
        <x:v>136</x:v>
      </x:c>
      <x:c r="G16" s="2" t="s">
        <x:v>137</x:v>
      </x:c>
      <x:c r="H16" s="2" t="s">
        <x:v>138</x:v>
      </x:c>
      <x:c r="I16" s="2" t="s">
        <x:v>139</x:v>
      </x:c>
      <x:c r="J16" s="2" t="s">
        <x:v>140</x:v>
      </x:c>
      <x:c r="K16" s="2" t="s">
        <x:v>141</x:v>
      </x:c>
      <x:c r="L16" s="2" t="s">
        <x:v>75</x:v>
      </x:c>
      <x:c r="M16" s="8" t="s">
        <x:v>28</x:v>
      </x:c>
      <x:c r="N16" s="8"/>
      <x:c r="O16" s="9" t="str">
        <x:f t="shared" si="1"/>
      </x:c>
      <x:c r="P16" s="9" t="str">
        <x:f t="shared" si="2"/>
      </x:c>
      <x:c r="Q16" s="10" t="str">
        <x:f t="shared" si="3"/>
      </x:c>
      <x:c r="R16" s="10" t="str">
        <x:f t="shared" si="4"/>
      </x:c>
      <x:c r="S16" s="11"/>
    </x:row>
    <x:row r="17" ht="30">
      <x:c r="A17" s="19" t="str">
        <x:f t="shared" ca="1" si="0"/>
        <x:v>OPEN</x:v>
      </x:c>
      <x:c r="B17" s="3">
        <x:v>46336</x:v>
      </x:c>
      <x:c r="C17" s="2" t="s">
        <x:v>142</x:v>
      </x:c>
      <x:c r="D17" s="2" t="s">
        <x:v>143</x:v>
      </x:c>
      <x:c r="E17" s="2" t="s">
        <x:v>93</x:v>
      </x:c>
      <x:c r="F17" s="2" t="s">
        <x:v>144</x:v>
      </x:c>
      <x:c r="G17" s="2" t="s">
        <x:v>145</x:v>
      </x:c>
      <x:c r="H17" s="2" t="s">
        <x:v>146</x:v>
      </x:c>
      <x:c r="I17" s="2" t="s">
        <x:v>147</x:v>
      </x:c>
      <x:c r="J17" s="2" t="s">
        <x:v>148</x:v>
      </x:c>
      <x:c r="K17" s="2" t="s">
        <x:v>149</x:v>
      </x:c>
      <x:c r="L17" s="2" t="s">
        <x:v>132</x:v>
      </x:c>
      <x:c r="M17" s="8" t="s">
        <x:v>28</x:v>
      </x:c>
      <x:c r="N17" s="8"/>
      <x:c r="O17" s="9" t="str">
        <x:f t="shared" si="1"/>
      </x:c>
      <x:c r="P17" s="9" t="str">
        <x:f t="shared" si="2"/>
      </x:c>
      <x:c r="Q17" s="10" t="str">
        <x:f t="shared" si="3"/>
      </x:c>
      <x:c r="R17" s="10" t="str">
        <x:f t="shared" si="4"/>
      </x:c>
      <x:c r="S17" s="11"/>
    </x:row>
    <x:row r="18" ht="45">
      <x:c r="A18" s="19" t="str">
        <x:f t="shared" ca="1" si="0"/>
        <x:v>OPEN</x:v>
      </x:c>
      <x:c r="B18" s="3">
        <x:v>46338</x:v>
      </x:c>
      <x:c r="C18" s="2" t="s">
        <x:v>150</x:v>
      </x:c>
      <x:c r="D18" s="2" t="s">
        <x:v>151</x:v>
      </x:c>
      <x:c r="E18" s="2" t="s">
        <x:v>93</x:v>
      </x:c>
      <x:c r="F18" s="2" t="s">
        <x:v>152</x:v>
      </x:c>
      <x:c r="G18" s="2" t="s">
        <x:v>153</x:v>
      </x:c>
      <x:c r="H18" s="2" t="s">
        <x:v>154</x:v>
      </x:c>
      <x:c r="I18" s="2" t="s">
        <x:v>155</x:v>
      </x:c>
      <x:c r="J18" s="2" t="s">
        <x:v>156</x:v>
      </x:c>
      <x:c r="K18" s="2" t="s">
        <x:v>157</x:v>
      </x:c>
      <x:c r="L18" s="2" t="s">
        <x:v>132</x:v>
      </x:c>
      <x:c r="M18" s="8" t="s">
        <x:v>28</x:v>
      </x:c>
      <x:c r="N18" s="8"/>
      <x:c r="O18" s="9" t="str">
        <x:f t="shared" si="1"/>
      </x:c>
      <x:c r="P18" s="9" t="str">
        <x:f t="shared" si="2"/>
      </x:c>
      <x:c r="Q18" s="10" t="str">
        <x:f t="shared" si="3"/>
      </x:c>
      <x:c r="R18" s="10" t="str">
        <x:f t="shared" si="4"/>
      </x:c>
      <x:c r="S18" s="11"/>
    </x:row>
    <x:row r="19" ht="30">
      <x:c r="A19" s="19" t="str">
        <x:f t="shared" ca="1" si="0"/>
        <x:v>OPEN</x:v>
      </x:c>
      <x:c r="B19" s="3">
        <x:v>46356</x:v>
      </x:c>
      <x:c r="C19" s="2" t="s">
        <x:v>19</x:v>
      </x:c>
      <x:c r="D19" s="2" t="s">
        <x:v>158</x:v>
      </x:c>
      <x:c r="E19" s="2" t="s">
        <x:v>159</x:v>
      </x:c>
      <x:c r="F19" s="2" t="s">
        <x:v>160</x:v>
      </x:c>
      <x:c r="G19" s="2" t="s">
        <x:v>161</x:v>
      </x:c>
      <x:c r="H19" s="2" t="s">
        <x:v>162</x:v>
      </x:c>
      <x:c r="I19" s="2" t="s">
        <x:v>163</x:v>
      </x:c>
      <x:c r="J19" s="2" t="s">
        <x:v>164</x:v>
      </x:c>
      <x:c r="K19" s="2" t="s">
        <x:v>165</x:v>
      </x:c>
      <x:c r="L19" s="2" t="s">
        <x:v>19</x:v>
      </x:c>
      <x:c r="M19" s="8" t="s">
        <x:v>28</x:v>
      </x:c>
      <x:c r="N19" s="8"/>
      <x:c r="O19" s="9" t="str">
        <x:f t="shared" si="1"/>
      </x:c>
      <x:c r="P19" s="9" t="str">
        <x:f t="shared" si="2"/>
      </x:c>
      <x:c r="Q19" s="10" t="str">
        <x:f t="shared" si="3"/>
      </x:c>
      <x:c r="R19" s="10" t="str">
        <x:f t="shared" si="4"/>
      </x:c>
      <x:c r="S19" s="11"/>
    </x:row>
    <x:row r="20" ht="45">
      <x:c r="A20" s="19" t="str">
        <x:f t="shared" ca="1" si="0"/>
        <x:v>OPEN</x:v>
      </x:c>
      <x:c r="B20" s="3">
        <x:v>46357</x:v>
      </x:c>
      <x:c r="C20" s="2" t="s">
        <x:v>75</x:v>
      </x:c>
      <x:c r="D20" s="2" t="s">
        <x:v>166</x:v>
      </x:c>
      <x:c r="E20" s="2" t="s">
        <x:v>167</x:v>
      </x:c>
      <x:c r="F20" s="2" t="s">
        <x:v>168</x:v>
      </x:c>
      <x:c r="G20" s="2" t="s">
        <x:v>169</x:v>
      </x:c>
      <x:c r="H20" s="2" t="s">
        <x:v>170</x:v>
      </x:c>
      <x:c r="I20" s="2" t="s">
        <x:v>171</x:v>
      </x:c>
      <x:c r="J20" s="2" t="s">
        <x:v>172</x:v>
      </x:c>
      <x:c r="K20" s="2" t="s">
        <x:v>173</x:v>
      </x:c>
      <x:c r="L20" s="2" t="s">
        <x:v>75</x:v>
      </x:c>
      <x:c r="M20" s="8" t="s">
        <x:v>28</x:v>
      </x:c>
      <x:c r="N20" s="8"/>
      <x:c r="O20" s="9" t="str">
        <x:f t="shared" si="1"/>
      </x:c>
      <x:c r="P20" s="9" t="str">
        <x:f t="shared" si="2"/>
      </x:c>
      <x:c r="Q20" s="10" t="str">
        <x:f t="shared" si="3"/>
      </x:c>
      <x:c r="R20" s="10" t="str">
        <x:f t="shared" si="4"/>
      </x:c>
      <x:c r="S20" s="11"/>
    </x:row>
    <x:row r="21" ht="30">
      <x:c r="A21" s="19" t="str">
        <x:f t="shared" ca="1" si="0"/>
        <x:v>OPEN</x:v>
      </x:c>
      <x:c r="B21" s="3">
        <x:v>46357</x:v>
      </x:c>
      <x:c r="C21" s="2" t="s">
        <x:v>75</x:v>
      </x:c>
      <x:c r="D21" s="2" t="s">
        <x:v>174</x:v>
      </x:c>
      <x:c r="E21" s="2" t="s">
        <x:v>175</x:v>
      </x:c>
      <x:c r="F21" s="2" t="s">
        <x:v>176</x:v>
      </x:c>
      <x:c r="G21" s="2" t="s">
        <x:v>177</x:v>
      </x:c>
      <x:c r="H21" s="2" t="s">
        <x:v>178</x:v>
      </x:c>
      <x:c r="I21" s="2" t="s">
        <x:v>179</x:v>
      </x:c>
      <x:c r="J21" s="2" t="s">
        <x:v>180</x:v>
      </x:c>
      <x:c r="K21" s="2" t="s">
        <x:v>173</x:v>
      </x:c>
      <x:c r="L21" s="2" t="s">
        <x:v>75</x:v>
      </x:c>
      <x:c r="M21" s="8" t="s">
        <x:v>28</x:v>
      </x:c>
      <x:c r="N21" s="8"/>
      <x:c r="O21" s="9" t="str">
        <x:f t="shared" si="1"/>
      </x:c>
      <x:c r="P21" s="9" t="str">
        <x:f t="shared" si="2"/>
      </x:c>
      <x:c r="Q21" s="10" t="str">
        <x:f t="shared" si="3"/>
      </x:c>
      <x:c r="R21" s="10" t="str">
        <x:f t="shared" si="4"/>
      </x:c>
      <x:c r="S21" s="11"/>
    </x:row>
    <x:row r="22" ht="30">
      <x:c r="A22" s="19" t="str">
        <x:f t="shared" ca="1" si="0"/>
        <x:v>OPEN</x:v>
      </x:c>
      <x:c r="B22" s="3">
        <x:v>46409</x:v>
      </x:c>
      <x:c r="C22" s="2" t="s">
        <x:v>19</x:v>
      </x:c>
      <x:c r="D22" s="2" t="s">
        <x:v>181</x:v>
      </x:c>
      <x:c r="E22" s="2" t="s">
        <x:v>182</x:v>
      </x:c>
      <x:c r="F22" s="2" t="s">
        <x:v>183</x:v>
      </x:c>
      <x:c r="G22" s="2" t="s">
        <x:v>184</x:v>
      </x:c>
      <x:c r="H22" s="2" t="s">
        <x:v>185</x:v>
      </x:c>
      <x:c r="I22" s="2" t="s">
        <x:v>186</x:v>
      </x:c>
      <x:c r="J22" s="2" t="s">
        <x:v>187</x:v>
      </x:c>
      <x:c r="K22" s="2" t="s">
        <x:v>188</x:v>
      </x:c>
      <x:c r="L22" s="2" t="s">
        <x:v>19</x:v>
      </x:c>
      <x:c r="M22" s="8" t="s">
        <x:v>28</x:v>
      </x:c>
      <x:c r="N22" s="8"/>
      <x:c r="O22" s="9" t="str">
        <x:f t="shared" si="1"/>
      </x:c>
      <x:c r="P22" s="9" t="str">
        <x:f t="shared" si="2"/>
      </x:c>
      <x:c r="Q22" s="10" t="str">
        <x:f t="shared" si="3"/>
      </x:c>
      <x:c r="R22" s="10" t="str">
        <x:f t="shared" si="4"/>
      </x:c>
      <x:c r="S22" s="11"/>
    </x:row>
    <x:row r="23" ht="30">
      <x:c r="A23" s="19" t="str">
        <x:f t="shared" ca="1" si="0"/>
        <x:v>OPEN</x:v>
      </x:c>
      <x:c r="B23" s="3">
        <x:v>46409</x:v>
      </x:c>
      <x:c r="C23" s="2" t="s">
        <x:v>19</x:v>
      </x:c>
      <x:c r="D23" s="2" t="s">
        <x:v>189</x:v>
      </x:c>
      <x:c r="E23" s="2" t="s">
        <x:v>190</x:v>
      </x:c>
      <x:c r="F23" s="2" t="s">
        <x:v>191</x:v>
      </x:c>
      <x:c r="G23" s="2" t="s">
        <x:v>192</x:v>
      </x:c>
      <x:c r="H23" s="2" t="s">
        <x:v>193</x:v>
      </x:c>
      <x:c r="I23" s="2" t="s">
        <x:v>194</x:v>
      </x:c>
      <x:c r="J23" s="2" t="s">
        <x:v>187</x:v>
      </x:c>
      <x:c r="K23" s="2" t="s">
        <x:v>195</x:v>
      </x:c>
      <x:c r="L23" s="2" t="s">
        <x:v>19</x:v>
      </x:c>
      <x:c r="M23" s="8" t="s">
        <x:v>28</x:v>
      </x:c>
      <x:c r="N23" s="8"/>
      <x:c r="O23" s="9" t="str">
        <x:f t="shared" si="1"/>
      </x:c>
      <x:c r="P23" s="9" t="str">
        <x:f t="shared" si="2"/>
      </x:c>
      <x:c r="Q23" s="10" t="str">
        <x:f t="shared" si="3"/>
      </x:c>
      <x:c r="R23" s="10" t="str">
        <x:f t="shared" si="4"/>
      </x:c>
      <x:c r="S23" s="11"/>
    </x:row>
    <x:row r="24" ht="30">
      <x:c r="A24" s="19" t="str">
        <x:f t="shared" ca="1" si="0"/>
        <x:v>OPEN</x:v>
      </x:c>
      <x:c r="B24" s="3">
        <x:v>46409</x:v>
      </x:c>
      <x:c r="C24" s="2" t="s">
        <x:v>19</x:v>
      </x:c>
      <x:c r="D24" s="2" t="s">
        <x:v>196</x:v>
      </x:c>
      <x:c r="E24" s="2" t="s">
        <x:v>197</x:v>
      </x:c>
      <x:c r="F24" s="2" t="s">
        <x:v>198</x:v>
      </x:c>
      <x:c r="G24" s="2" t="s">
        <x:v>199</x:v>
      </x:c>
      <x:c r="H24" s="2" t="s">
        <x:v>200</x:v>
      </x:c>
      <x:c r="I24" s="2" t="s">
        <x:v>25</x:v>
      </x:c>
      <x:c r="J24" s="2" t="s">
        <x:v>187</x:v>
      </x:c>
      <x:c r="K24" s="2" t="s">
        <x:v>201</x:v>
      </x:c>
      <x:c r="L24" s="2" t="s">
        <x:v>19</x:v>
      </x:c>
      <x:c r="M24" s="8" t="s">
        <x:v>28</x:v>
      </x:c>
      <x:c r="N24" s="8"/>
      <x:c r="O24" s="9" t="str">
        <x:f t="shared" si="1"/>
      </x:c>
      <x:c r="P24" s="9" t="str">
        <x:f t="shared" si="2"/>
      </x:c>
      <x:c r="Q24" s="10" t="str">
        <x:f t="shared" si="3"/>
      </x:c>
      <x:c r="R24" s="10" t="str">
        <x:f t="shared" si="4"/>
      </x:c>
      <x:c r="S24" s="11"/>
    </x:row>
    <x:row r="25" ht="30">
      <x:c r="A25" s="19" t="str">
        <x:f t="shared" ca="1" si="0"/>
        <x:v>OPEN</x:v>
      </x:c>
      <x:c r="B25" s="3">
        <x:v>46409</x:v>
      </x:c>
      <x:c r="C25" s="2" t="s">
        <x:v>19</x:v>
      </x:c>
      <x:c r="D25" s="2" t="s">
        <x:v>202</x:v>
      </x:c>
      <x:c r="E25" s="2" t="s">
        <x:v>101</x:v>
      </x:c>
      <x:c r="F25" s="2" t="s">
        <x:v>203</x:v>
      </x:c>
      <x:c r="G25" s="2" t="s">
        <x:v>204</x:v>
      </x:c>
      <x:c r="H25" s="2" t="s">
        <x:v>205</x:v>
      </x:c>
      <x:c r="I25" s="2" t="s">
        <x:v>206</x:v>
      </x:c>
      <x:c r="J25" s="2" t="s">
        <x:v>187</x:v>
      </x:c>
      <x:c r="K25" s="2" t="s">
        <x:v>27</x:v>
      </x:c>
      <x:c r="L25" s="2" t="s">
        <x:v>19</x:v>
      </x:c>
      <x:c r="M25" s="8" t="s">
        <x:v>28</x:v>
      </x:c>
      <x:c r="N25" s="8"/>
      <x:c r="O25" s="9" t="str">
        <x:f t="shared" si="1"/>
      </x:c>
      <x:c r="P25" s="9" t="str">
        <x:f t="shared" si="2"/>
      </x:c>
      <x:c r="Q25" s="10" t="str">
        <x:f t="shared" si="3"/>
      </x:c>
      <x:c r="R25" s="10" t="str">
        <x:f t="shared" si="4"/>
      </x:c>
      <x:c r="S25" s="11"/>
    </x:row>
    <x:row r="26" ht="30">
      <x:c r="A26" s="19" t="str">
        <x:f t="shared" ca="1" si="0"/>
        <x:v>OPEN</x:v>
      </x:c>
      <x:c r="B26" s="3">
        <x:v>46418</x:v>
      </x:c>
      <x:c r="C26" s="2" t="s">
        <x:v>19</x:v>
      </x:c>
      <x:c r="D26" s="2" t="s">
        <x:v>207</x:v>
      </x:c>
      <x:c r="E26" s="2" t="s">
        <x:v>208</x:v>
      </x:c>
      <x:c r="F26" s="2" t="s">
        <x:v>209</x:v>
      </x:c>
      <x:c r="G26" s="2" t="s">
        <x:v>210</x:v>
      </x:c>
      <x:c r="H26" s="2" t="s">
        <x:v>211</x:v>
      </x:c>
      <x:c r="I26" s="2" t="s">
        <x:v>206</x:v>
      </x:c>
      <x:c r="J26" s="2" t="s">
        <x:v>212</x:v>
      </x:c>
      <x:c r="K26" s="2" t="s">
        <x:v>27</x:v>
      </x:c>
      <x:c r="L26" s="2" t="s">
        <x:v>19</x:v>
      </x:c>
      <x:c r="M26" s="8" t="s">
        <x:v>28</x:v>
      </x:c>
      <x:c r="N26" s="8"/>
      <x:c r="O26" s="9" t="str">
        <x:f t="shared" si="1"/>
      </x:c>
      <x:c r="P26" s="9" t="str">
        <x:f t="shared" si="2"/>
      </x:c>
      <x:c r="Q26" s="10" t="str">
        <x:f t="shared" si="3"/>
      </x:c>
      <x:c r="R26" s="10" t="str">
        <x:f t="shared" si="4"/>
      </x:c>
      <x:c r="S26" s="11"/>
    </x:row>
    <x:row r="27" ht="30">
      <x:c r="A27" s="19" t="str">
        <x:f t="shared" ca="1" si="0"/>
        <x:v>OPEN</x:v>
      </x:c>
      <x:c r="B27" s="3">
        <x:v>46419</x:v>
      </x:c>
      <x:c r="C27" s="2" t="s">
        <x:v>19</x:v>
      </x:c>
      <x:c r="D27" s="2" t="s">
        <x:v>213</x:v>
      </x:c>
      <x:c r="E27" s="2" t="s">
        <x:v>214</x:v>
      </x:c>
      <x:c r="F27" s="2" t="s">
        <x:v>215</x:v>
      </x:c>
      <x:c r="G27" s="2" t="s">
        <x:v>216</x:v>
      </x:c>
      <x:c r="H27" s="2" t="s">
        <x:v>217</x:v>
      </x:c>
      <x:c r="I27" s="2" t="s">
        <x:v>218</x:v>
      </x:c>
      <x:c r="J27" s="2" t="s">
        <x:v>219</x:v>
      </x:c>
      <x:c r="K27" s="2" t="s">
        <x:v>27</x:v>
      </x:c>
      <x:c r="L27" s="2" t="s">
        <x:v>19</x:v>
      </x:c>
      <x:c r="M27" s="8" t="s">
        <x:v>28</x:v>
      </x:c>
      <x:c r="N27" s="8"/>
      <x:c r="O27" s="9" t="str">
        <x:f t="shared" si="1"/>
      </x:c>
      <x:c r="P27" s="9" t="str">
        <x:f t="shared" si="2"/>
      </x:c>
      <x:c r="Q27" s="10" t="str">
        <x:f t="shared" si="3"/>
      </x:c>
      <x:c r="R27" s="10" t="str">
        <x:f t="shared" si="4"/>
      </x:c>
      <x:c r="S27" s="11"/>
    </x:row>
    <x:row r="28" ht="45">
      <x:c r="A28" s="19" t="str">
        <x:f t="shared" ca="1" si="0"/>
        <x:v>OPEN</x:v>
      </x:c>
      <x:c r="B28" s="3" t="s">
        <x:v>220</x:v>
      </x:c>
      <x:c r="C28" s="2" t="s">
        <x:v>221</x:v>
      </x:c>
      <x:c r="D28" s="2" t="s">
        <x:v>222</x:v>
      </x:c>
      <x:c r="E28" s="2" t="s">
        <x:v>223</x:v>
      </x:c>
      <x:c r="F28" s="2" t="s">
        <x:v>224</x:v>
      </x:c>
      <x:c r="G28" s="2" t="s">
        <x:v>225</x:v>
      </x:c>
      <x:c r="H28" s="2" t="s">
        <x:v>226</x:v>
      </x:c>
      <x:c r="I28" s="2" t="s">
        <x:v>227</x:v>
      </x:c>
      <x:c r="J28" s="2" t="s">
        <x:v>228</x:v>
      </x:c>
      <x:c r="K28" s="2" t="s">
        <x:v>229</x:v>
      </x:c>
      <x:c r="L28" s="2" t="s">
        <x:v>132</x:v>
      </x:c>
      <x:c r="M28" s="8" t="s">
        <x:v>28</x:v>
      </x:c>
      <x:c r="N28" s="8"/>
      <x:c r="O28" s="9" t="str">
        <x:f t="shared" si="1"/>
      </x:c>
      <x:c r="P28" s="9" t="str">
        <x:f t="shared" si="2"/>
      </x:c>
      <x:c r="Q28" s="10" t="str">
        <x:f t="shared" si="3"/>
      </x:c>
      <x:c r="R28" s="10" t="str">
        <x:f t="shared" si="4"/>
      </x:c>
      <x:c r="S28" s="11"/>
    </x:row>
    <x:row r="29" ht="45">
      <x:c r="A29" s="19" t="str">
        <x:f t="shared" ca="1" si="0"/>
        <x:v>OPEN</x:v>
      </x:c>
      <x:c r="B29" s="3" t="s">
        <x:v>220</x:v>
      </x:c>
      <x:c r="C29" s="2" t="s">
        <x:v>230</x:v>
      </x:c>
      <x:c r="D29" s="2" t="s">
        <x:v>231</x:v>
      </x:c>
      <x:c r="E29" s="2" t="s">
        <x:v>93</x:v>
      </x:c>
      <x:c r="F29" s="2" t="s">
        <x:v>232</x:v>
      </x:c>
      <x:c r="G29" s="2" t="s">
        <x:v>233</x:v>
      </x:c>
      <x:c r="H29" s="2" t="s">
        <x:v>234</x:v>
      </x:c>
      <x:c r="I29" s="2" t="s">
        <x:v>235</x:v>
      </x:c>
      <x:c r="J29" s="2" t="s">
        <x:v>236</x:v>
      </x:c>
      <x:c r="K29" s="2" t="s">
        <x:v>237</x:v>
      </x:c>
      <x:c r="L29" s="2" t="s">
        <x:v>238</x:v>
      </x:c>
      <x:c r="M29" s="8" t="s">
        <x:v>28</x:v>
      </x:c>
      <x:c r="N29" s="8"/>
      <x:c r="O29" s="9" t="str">
        <x:f t="shared" si="1"/>
      </x:c>
      <x:c r="P29" s="9" t="str">
        <x:f t="shared" si="2"/>
      </x:c>
      <x:c r="Q29" s="10" t="str">
        <x:f t="shared" si="3"/>
      </x:c>
      <x:c r="R29" s="10" t="str">
        <x:f t="shared" si="4"/>
      </x:c>
      <x:c r="S29" s="11"/>
    </x:row>
    <x:row r="30" ht="30">
      <x:c r="A30" s="19" t="str">
        <x:f t="shared" ca="1" si="0"/>
        <x:v>OPEN</x:v>
      </x:c>
      <x:c r="B30" s="3" t="s">
        <x:v>220</x:v>
      </x:c>
      <x:c r="C30" s="2" t="s">
        <x:v>230</x:v>
      </x:c>
      <x:c r="D30" s="2" t="s">
        <x:v>239</x:v>
      </x:c>
      <x:c r="E30" s="2" t="s">
        <x:v>93</x:v>
      </x:c>
      <x:c r="F30" s="2" t="s">
        <x:v>240</x:v>
      </x:c>
      <x:c r="G30" s="2" t="s">
        <x:v>241</x:v>
      </x:c>
      <x:c r="H30" s="2" t="s">
        <x:v>242</x:v>
      </x:c>
      <x:c r="I30" s="2" t="s">
        <x:v>243</x:v>
      </x:c>
      <x:c r="J30" s="2" t="s">
        <x:v>244</x:v>
      </x:c>
      <x:c r="K30" s="2" t="s">
        <x:v>245</x:v>
      </x:c>
      <x:c r="L30" s="2" t="s">
        <x:v>238</x:v>
      </x:c>
      <x:c r="M30" s="8" t="s">
        <x:v>28</x:v>
      </x:c>
      <x:c r="N30" s="8"/>
      <x:c r="O30" s="9" t="str">
        <x:f t="shared" si="1"/>
      </x:c>
      <x:c r="P30" s="9" t="str">
        <x:f t="shared" si="2"/>
      </x:c>
      <x:c r="Q30" s="10" t="str">
        <x:f t="shared" si="3"/>
      </x:c>
      <x:c r="R30" s="10" t="str">
        <x:f t="shared" si="4"/>
      </x:c>
      <x:c r="S30" s="11"/>
    </x:row>
    <x:row r="31" ht="30">
      <x:c r="A31" s="19" t="str">
        <x:f t="shared" ca="1" si="0"/>
        <x:v>OPEN</x:v>
      </x:c>
      <x:c r="B31" s="3" t="s">
        <x:v>220</x:v>
      </x:c>
      <x:c r="C31" s="2" t="s">
        <x:v>230</x:v>
      </x:c>
      <x:c r="D31" s="2" t="s">
        <x:v>246</x:v>
      </x:c>
      <x:c r="E31" s="2" t="s">
        <x:v>247</x:v>
      </x:c>
      <x:c r="F31" s="2" t="s">
        <x:v>248</x:v>
      </x:c>
      <x:c r="G31" s="2" t="s">
        <x:v>249</x:v>
      </x:c>
      <x:c r="H31" s="2" t="s">
        <x:v>250</x:v>
      </x:c>
      <x:c r="I31" s="2" t="s">
        <x:v>66</x:v>
      </x:c>
      <x:c r="J31" s="2" t="s">
        <x:v>236</x:v>
      </x:c>
      <x:c r="K31" s="2" t="s">
        <x:v>251</x:v>
      </x:c>
      <x:c r="L31" s="2" t="s">
        <x:v>238</x:v>
      </x:c>
      <x:c r="M31" s="8" t="s">
        <x:v>28</x:v>
      </x:c>
      <x:c r="N31" s="8"/>
      <x:c r="O31" s="9" t="str">
        <x:f t="shared" si="1"/>
      </x:c>
      <x:c r="P31" s="9" t="str">
        <x:f t="shared" si="2"/>
      </x:c>
      <x:c r="Q31" s="10" t="str">
        <x:f t="shared" si="3"/>
      </x:c>
      <x:c r="R31" s="10" t="str">
        <x:f t="shared" si="4"/>
      </x:c>
      <x:c r="S31" s="11"/>
    </x:row>
    <x:row r="32" ht="45">
      <x:c r="A32" s="19" t="str">
        <x:f t="shared" ca="1" si="0"/>
        <x:v>OPEN</x:v>
      </x:c>
      <x:c r="B32" s="3" t="s">
        <x:v>220</x:v>
      </x:c>
      <x:c r="C32" s="2" t="s">
        <x:v>230</x:v>
      </x:c>
      <x:c r="D32" s="2" t="s">
        <x:v>252</x:v>
      </x:c>
      <x:c r="E32" s="2" t="s">
        <x:v>40</x:v>
      </x:c>
      <x:c r="F32" s="2" t="s">
        <x:v>253</x:v>
      </x:c>
      <x:c r="G32" s="2" t="s">
        <x:v>254</x:v>
      </x:c>
      <x:c r="H32" s="2" t="s">
        <x:v>255</x:v>
      </x:c>
      <x:c r="I32" s="2" t="s">
        <x:v>44</x:v>
      </x:c>
      <x:c r="J32" s="2" t="s">
        <x:v>256</x:v>
      </x:c>
      <x:c r="K32" s="2" t="s">
        <x:v>257</x:v>
      </x:c>
      <x:c r="L32" s="2" t="s">
        <x:v>238</x:v>
      </x:c>
      <x:c r="M32" s="8" t="s">
        <x:v>28</x:v>
      </x:c>
      <x:c r="N32" s="8"/>
      <x:c r="O32" s="9" t="str">
        <x:f t="shared" si="1"/>
      </x:c>
      <x:c r="P32" s="9" t="str">
        <x:f t="shared" si="2"/>
      </x:c>
      <x:c r="Q32" s="10" t="str">
        <x:f t="shared" si="3"/>
      </x:c>
      <x:c r="R32" s="10" t="str">
        <x:f t="shared" si="4"/>
      </x:c>
      <x:c r="S32" s="11"/>
    </x:row>
    <x:row r="33" ht="60">
      <x:c r="A33" s="22" t="str">
        <x:f t="shared" ca="1" si="0"/>
        <x:v>FORTHCOMING</x:v>
      </x:c>
      <x:c r="B33" s="3" t="s">
        <x:v>258</x:v>
      </x:c>
      <x:c r="C33" s="2" t="s">
        <x:v>142</x:v>
      </x:c>
      <x:c r="D33" s="2" t="s">
        <x:v>259</x:v>
      </x:c>
      <x:c r="E33" s="2" t="s">
        <x:v>93</x:v>
      </x:c>
      <x:c r="F33" s="2" t="s">
        <x:v>260</x:v>
      </x:c>
      <x:c r="G33" s="2" t="s">
        <x:v>261</x:v>
      </x:c>
      <x:c r="H33" s="2" t="s">
        <x:v>262</x:v>
      </x:c>
      <x:c r="I33" s="2" t="s">
        <x:v>263</x:v>
      </x:c>
      <x:c r="J33" s="2" t="s">
        <x:v>264</x:v>
      </x:c>
      <x:c r="K33" s="2" t="s">
        <x:v>265</x:v>
      </x:c>
      <x:c r="L33" s="2" t="s">
        <x:v>266</x:v>
      </x:c>
      <x:c r="M33" s="8" t="s">
        <x:v>267</x:v>
      </x:c>
      <x:c r="N33" s="8"/>
      <x:c r="O33" s="9" t="str">
        <x:f t="shared" si="1"/>
      </x:c>
      <x:c r="P33" s="9" t="str">
        <x:f t="shared" si="2"/>
      </x:c>
      <x:c r="Q33" s="10" t="str">
        <x:f t="shared" si="3"/>
      </x:c>
      <x:c r="R33" s="10" t="str">
        <x:f t="shared" si="4"/>
      </x:c>
      <x:c r="S33" s="11"/>
    </x:row>
    <x:row r="34" ht="45">
      <x:c r="A34" s="22" t="str">
        <x:f t="shared" ca="1" si="0"/>
        <x:v>FORTHCOMING</x:v>
      </x:c>
      <x:c r="B34" s="3" t="s">
        <x:v>268</x:v>
      </x:c>
      <x:c r="C34" s="2" t="s">
        <x:v>269</x:v>
      </x:c>
      <x:c r="D34" s="2" t="s">
        <x:v>270</x:v>
      </x:c>
      <x:c r="E34" s="2" t="s">
        <x:v>271</x:v>
      </x:c>
      <x:c r="F34" s="2" t="s">
        <x:v>272</x:v>
      </x:c>
      <x:c r="G34" s="2" t="s">
        <x:v>273</x:v>
      </x:c>
      <x:c r="H34" s="2" t="s">
        <x:v>274</x:v>
      </x:c>
      <x:c r="I34" s="2" t="s">
        <x:v>275</x:v>
      </x:c>
      <x:c r="J34" s="2" t="s">
        <x:v>276</x:v>
      </x:c>
      <x:c r="K34" s="2" t="s">
        <x:v>265</x:v>
      </x:c>
      <x:c r="L34" s="2" t="s">
        <x:v>266</x:v>
      </x:c>
      <x:c r="M34" s="8" t="s">
        <x:v>267</x:v>
      </x:c>
      <x:c r="N34" s="8"/>
      <x:c r="O34" s="9" t="str">
        <x:f t="shared" si="1"/>
      </x:c>
      <x:c r="P34" s="9" t="str">
        <x:f t="shared" si="2"/>
      </x:c>
      <x:c r="Q34" s="10" t="str">
        <x:f t="shared" si="3"/>
      </x:c>
      <x:c r="R34" s="10" t="str">
        <x:f t="shared" si="4"/>
      </x:c>
      <x:c r="S34" s="11"/>
    </x:row>
    <x:row r="35" ht="30">
      <x:c r="A35" s="22" t="str">
        <x:f t="shared" ca="1" si="0"/>
        <x:v>FORTHCOMING</x:v>
      </x:c>
      <x:c r="B35" s="3" t="s">
        <x:v>268</x:v>
      </x:c>
      <x:c r="C35" s="2" t="s">
        <x:v>150</x:v>
      </x:c>
      <x:c r="D35" s="2" t="s">
        <x:v>277</x:v>
      </x:c>
      <x:c r="E35" s="2" t="s">
        <x:v>278</x:v>
      </x:c>
      <x:c r="F35" s="2" t="s">
        <x:v>279</x:v>
      </x:c>
      <x:c r="G35" s="2" t="s">
        <x:v>280</x:v>
      </x:c>
      <x:c r="H35" s="2" t="s">
        <x:v>281</x:v>
      </x:c>
      <x:c r="I35" s="2" t="s">
        <x:v>282</x:v>
      </x:c>
      <x:c r="J35" s="2" t="s">
        <x:v>283</x:v>
      </x:c>
      <x:c r="K35" s="2" t="s">
        <x:v>265</x:v>
      </x:c>
      <x:c r="L35" s="2" t="s">
        <x:v>266</x:v>
      </x:c>
      <x:c r="M35" s="8" t="s">
        <x:v>267</x:v>
      </x:c>
      <x:c r="N35" s="8"/>
      <x:c r="O35" s="9" t="str">
        <x:f t="shared" si="1"/>
      </x:c>
      <x:c r="P35" s="9" t="str">
        <x:f t="shared" si="2"/>
      </x:c>
      <x:c r="Q35" s="10" t="str">
        <x:f t="shared" si="3"/>
      </x:c>
      <x:c r="R35" s="10" t="str">
        <x:f t="shared" si="4"/>
      </x:c>
      <x:c r="S35" s="11"/>
    </x:row>
    <x:row r="36" ht="30">
      <x:c r="A36" s="22" t="str">
        <x:f t="shared" ca="1" si="0"/>
        <x:v>FORTHCOMING</x:v>
      </x:c>
      <x:c r="B36" s="3" t="s">
        <x:v>284</x:v>
      </x:c>
      <x:c r="C36" s="2" t="s">
        <x:v>142</x:v>
      </x:c>
      <x:c r="D36" s="2" t="s">
        <x:v>285</x:v>
      </x:c>
      <x:c r="E36" s="2" t="s">
        <x:v>286</x:v>
      </x:c>
      <x:c r="F36" s="2" t="s">
        <x:v>287</x:v>
      </x:c>
      <x:c r="G36" s="2" t="s">
        <x:v>288</x:v>
      </x:c>
      <x:c r="H36" s="2" t="s">
        <x:v>289</x:v>
      </x:c>
      <x:c r="I36" s="2" t="s">
        <x:v>290</x:v>
      </x:c>
      <x:c r="J36" s="2" t="s">
        <x:v>291</x:v>
      </x:c>
      <x:c r="K36" s="2" t="s">
        <x:v>265</x:v>
      </x:c>
      <x:c r="L36" s="2" t="s">
        <x:v>266</x:v>
      </x:c>
      <x:c r="M36" s="8" t="s">
        <x:v>267</x:v>
      </x:c>
      <x:c r="N36" s="8"/>
      <x:c r="O36" s="9" t="str">
        <x:f t="shared" si="1"/>
      </x:c>
      <x:c r="P36" s="9" t="str">
        <x:f t="shared" si="2"/>
      </x:c>
      <x:c r="Q36" s="10" t="str">
        <x:f t="shared" si="3"/>
      </x:c>
      <x:c r="R36" s="10" t="str">
        <x:f t="shared" si="4"/>
      </x:c>
      <x:c r="S36" s="11"/>
    </x:row>
    <x:row r="37" ht="30">
      <x:c r="A37" s="22" t="str">
        <x:f t="shared" ca="1" si="0"/>
        <x:v>FORTHCOMING</x:v>
      </x:c>
      <x:c r="B37" s="3" t="s">
        <x:v>284</x:v>
      </x:c>
      <x:c r="C37" s="2" t="s">
        <x:v>292</x:v>
      </x:c>
      <x:c r="D37" s="2" t="s">
        <x:v>293</x:v>
      </x:c>
      <x:c r="E37" s="2" t="s">
        <x:v>294</x:v>
      </x:c>
      <x:c r="F37" s="2" t="s">
        <x:v>295</x:v>
      </x:c>
      <x:c r="G37" s="2" t="s">
        <x:v>296</x:v>
      </x:c>
      <x:c r="H37" s="2" t="s">
        <x:v>297</x:v>
      </x:c>
      <x:c r="I37" s="2" t="s">
        <x:v>298</x:v>
      </x:c>
      <x:c r="J37" s="2" t="s">
        <x:v>299</x:v>
      </x:c>
      <x:c r="K37" s="2" t="s">
        <x:v>265</x:v>
      </x:c>
      <x:c r="L37" s="2" t="s">
        <x:v>266</x:v>
      </x:c>
      <x:c r="M37" s="8" t="s">
        <x:v>267</x:v>
      </x:c>
      <x:c r="N37" s="8"/>
      <x:c r="O37" s="9" t="str">
        <x:f t="shared" si="1"/>
      </x:c>
      <x:c r="P37" s="9" t="str">
        <x:f t="shared" si="2"/>
      </x:c>
      <x:c r="Q37" s="10" t="str">
        <x:f t="shared" si="3"/>
      </x:c>
      <x:c r="R37" s="10" t="str">
        <x:f t="shared" si="4"/>
      </x:c>
      <x:c r="S37" s="11"/>
    </x:row>
    <x:row r="38" ht="30">
      <x:c r="A38" s="22" t="str">
        <x:f t="shared" ca="1" si="0"/>
        <x:v>FORTHCOMING</x:v>
      </x:c>
      <x:c r="B38" s="3" t="s">
        <x:v>300</x:v>
      </x:c>
      <x:c r="C38" s="2" t="s">
        <x:v>142</x:v>
      </x:c>
      <x:c r="D38" s="2" t="s">
        <x:v>301</x:v>
      </x:c>
      <x:c r="E38" s="2" t="s">
        <x:v>302</x:v>
      </x:c>
      <x:c r="F38" s="2" t="s">
        <x:v>303</x:v>
      </x:c>
      <x:c r="G38" s="2" t="s">
        <x:v>304</x:v>
      </x:c>
      <x:c r="H38" s="2" t="s">
        <x:v>305</x:v>
      </x:c>
      <x:c r="I38" s="2" t="s">
        <x:v>306</x:v>
      </x:c>
      <x:c r="J38" s="2" t="s">
        <x:v>307</x:v>
      </x:c>
      <x:c r="K38" s="2" t="s">
        <x:v>265</x:v>
      </x:c>
      <x:c r="L38" s="2" t="s">
        <x:v>266</x:v>
      </x:c>
      <x:c r="M38" s="8" t="s">
        <x:v>267</x:v>
      </x:c>
      <x:c r="N38" s="8"/>
      <x:c r="O38" s="9" t="str">
        <x:f t="shared" si="1"/>
      </x:c>
      <x:c r="P38" s="9" t="str">
        <x:f t="shared" si="2"/>
      </x:c>
      <x:c r="Q38" s="10" t="str">
        <x:f t="shared" si="3"/>
      </x:c>
      <x:c r="R38" s="10" t="str">
        <x:f t="shared" si="4"/>
      </x:c>
      <x:c r="S38" s="11"/>
    </x:row>
    <x:row r="39" ht="30">
      <x:c r="A39" s="22" t="str">
        <x:f t="shared" ca="1" si="0"/>
        <x:v>FORTHCOMING</x:v>
      </x:c>
      <x:c r="B39" s="3" t="s">
        <x:v>300</x:v>
      </x:c>
      <x:c r="C39" s="2" t="s">
        <x:v>142</x:v>
      </x:c>
      <x:c r="D39" s="2" t="s">
        <x:v>308</x:v>
      </x:c>
      <x:c r="E39" s="2" t="s">
        <x:v>31</x:v>
      </x:c>
      <x:c r="F39" s="2" t="s">
        <x:v>309</x:v>
      </x:c>
      <x:c r="G39" s="2" t="s">
        <x:v>310</x:v>
      </x:c>
      <x:c r="H39" s="2" t="s">
        <x:v>311</x:v>
      </x:c>
      <x:c r="I39" s="2" t="s">
        <x:v>312</x:v>
      </x:c>
      <x:c r="J39" s="2" t="s">
        <x:v>313</x:v>
      </x:c>
      <x:c r="K39" s="2" t="s">
        <x:v>265</x:v>
      </x:c>
      <x:c r="L39" s="2" t="s">
        <x:v>266</x:v>
      </x:c>
      <x:c r="M39" s="8" t="s">
        <x:v>267</x:v>
      </x:c>
      <x:c r="N39" s="8"/>
      <x:c r="O39" s="9" t="str">
        <x:f t="shared" si="1"/>
      </x:c>
      <x:c r="P39" s="9" t="str">
        <x:f t="shared" si="2"/>
      </x:c>
      <x:c r="Q39" s="10" t="str">
        <x:f t="shared" si="3"/>
      </x:c>
      <x:c r="R39" s="10" t="str">
        <x:f t="shared" si="4"/>
      </x:c>
      <x:c r="S39" s="11"/>
    </x:row>
    <x:row r="40" ht="30">
      <x:c r="A40" s="22" t="str">
        <x:f t="shared" ca="1" si="0"/>
        <x:v>FORTHCOMING</x:v>
      </x:c>
      <x:c r="B40" s="3" t="s">
        <x:v>314</x:v>
      </x:c>
      <x:c r="C40" s="2" t="s">
        <x:v>142</x:v>
      </x:c>
      <x:c r="D40" s="2" t="s">
        <x:v>315</x:v>
      </x:c>
      <x:c r="E40" s="2" t="s">
        <x:v>40</x:v>
      </x:c>
      <x:c r="F40" s="2" t="s">
        <x:v>316</x:v>
      </x:c>
      <x:c r="G40" s="2" t="s">
        <x:v>317</x:v>
      </x:c>
      <x:c r="H40" s="2" t="s">
        <x:v>318</x:v>
      </x:c>
      <x:c r="I40" s="2" t="s">
        <x:v>319</x:v>
      </x:c>
      <x:c r="J40" s="2" t="s">
        <x:v>320</x:v>
      </x:c>
      <x:c r="K40" s="2" t="s">
        <x:v>265</x:v>
      </x:c>
      <x:c r="L40" s="2" t="s">
        <x:v>266</x:v>
      </x:c>
      <x:c r="M40" s="8" t="s">
        <x:v>267</x:v>
      </x:c>
      <x:c r="N40" s="8"/>
      <x:c r="O40" s="9" t="str">
        <x:f t="shared" si="1"/>
      </x:c>
      <x:c r="P40" s="9" t="str">
        <x:f t="shared" si="2"/>
      </x:c>
      <x:c r="Q40" s="10" t="str">
        <x:f t="shared" si="3"/>
      </x:c>
      <x:c r="R40" s="10" t="str">
        <x:f t="shared" si="4"/>
      </x:c>
      <x:c r="S40" s="11"/>
    </x:row>
    <x:row r="41" ht="45">
      <x:c r="A41" s="16" t="str">
        <x:f t="shared" ca="1" si="0"/>
        <x:v>DEADLINE PASSED</x:v>
      </x:c>
      <x:c r="B41" s="3">
        <x:v>46283</x:v>
      </x:c>
      <x:c r="C41" s="2" t="s">
        <x:v>321</x:v>
      </x:c>
      <x:c r="D41" s="2" t="s">
        <x:v>322</x:v>
      </x:c>
      <x:c r="E41" s="2" t="s">
        <x:v>323</x:v>
      </x:c>
      <x:c r="F41" s="2" t="s">
        <x:v>324</x:v>
      </x:c>
      <x:c r="G41" s="2" t="s">
        <x:v>325</x:v>
      </x:c>
      <x:c r="H41" s="2" t="s">
        <x:v>326</x:v>
      </x:c>
      <x:c r="I41" s="2" t="s">
        <x:v>327</x:v>
      </x:c>
      <x:c r="J41" s="2" t="s">
        <x:v>328</x:v>
      </x:c>
      <x:c r="K41" s="2" t="s">
        <x:v>329</x:v>
      </x:c>
      <x:c r="L41" s="2" t="s">
        <x:v>132</x:v>
      </x:c>
      <x:c r="M41" s="8" t="s">
        <x:v>330</x:v>
      </x:c>
      <x:c r="N41" s="8"/>
      <x:c r="O41" s="9" t="str">
        <x:f t="shared" si="1"/>
      </x:c>
      <x:c r="P41" s="9" t="str">
        <x:f t="shared" si="2"/>
      </x:c>
      <x:c r="Q41" s="10" t="str">
        <x:f t="shared" si="3"/>
      </x:c>
      <x:c r="R41" s="10" t="str">
        <x:f t="shared" si="4"/>
      </x:c>
      <x:c r="S41" s="11"/>
    </x:row>
    <x:row r="42" ht="45">
      <x:c r="A42" s="16" t="str">
        <x:f t="shared" ca="1" si="0"/>
        <x:v>DEADLINE PASSED</x:v>
      </x:c>
      <x:c r="B42" s="3">
        <x:v>46286</x:v>
      </x:c>
      <x:c r="C42" s="2" t="s">
        <x:v>331</x:v>
      </x:c>
      <x:c r="D42" s="2" t="s">
        <x:v>332</x:v>
      </x:c>
      <x:c r="E42" s="2" t="s">
        <x:v>333</x:v>
      </x:c>
      <x:c r="F42" s="2" t="s">
        <x:v>334</x:v>
      </x:c>
      <x:c r="G42" s="2" t="s">
        <x:v>335</x:v>
      </x:c>
      <x:c r="H42" s="2" t="s">
        <x:v>336</x:v>
      </x:c>
      <x:c r="I42" s="2" t="s">
        <x:v>337</x:v>
      </x:c>
      <x:c r="J42" s="2" t="s">
        <x:v>338</x:v>
      </x:c>
      <x:c r="K42" s="2" t="s">
        <x:v>339</x:v>
      </x:c>
      <x:c r="L42" s="2" t="s">
        <x:v>132</x:v>
      </x:c>
      <x:c r="M42" s="8" t="s">
        <x:v>340</x:v>
      </x:c>
      <x:c r="N42" s="8"/>
      <x:c r="O42" s="9" t="str">
        <x:f t="shared" si="1"/>
      </x:c>
      <x:c r="P42" s="9" t="str">
        <x:f t="shared" si="2"/>
      </x:c>
      <x:c r="Q42" s="10" t="str">
        <x:f t="shared" si="3"/>
      </x:c>
      <x:c r="R42" s="10" t="str">
        <x:f t="shared" si="4"/>
      </x:c>
      <x:c r="S42" s="11"/>
    </x:row>
  </x:sheetData>
  <x:conditionalFormatting sqref="A2:A42">
    <x:cfRule type="expression" dxfId="1" priority="1">
      <x:formula>$A2="OPEN"</x:formula>
    </x:cfRule>
    <x:cfRule type="expression" dxfId="2" priority="2">
      <x:formula>$A2="FORTHCOMING"</x:formula>
    </x:cfRule>
    <x:cfRule type="expression" dxfId="3" priority="3">
      <x:formula>LEFT($A2,6)="CLOSED"</x:formula>
    </x:cfRule>
    <x:cfRule type="expression" dxfId="4" priority="4">
      <x:formula>$A2="DEADLINE PASSED"</x:formula>
    </x:cfRule>
  </x:conditionalFormatting>
  <x:dataValidations count="2">
    <x:dataValidation type="list" sqref="M2:M500">
      <x:formula1>"OPEN,FORTHCOMING,CLOSED – monitor recurrence,CLOSED – invited stage continues"</x:formula1>
    </x:dataValidation>
    <x:dataValidation type="list" sqref="N2:N500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c41408dbb064834"/>
  </x:tableParts>
</x:worksheet>
</file>

<file path=xl/worksheets/sheet2.xml><?xml version="1.0" encoding="utf-8"?>
<x:worksheet xmlns:x="http://schemas.openxmlformats.org/spreadsheetml/2006/main">
  <x:sheetFormatPr baseColWidth="10" defaultColWidth="8.83203125" defaultRowHeight="14"/>
  <x:cols>
    <x:col min="1" max="1" width="24" customWidth="1"/>
    <x:col min="2" max="2" width="88" customWidth="1"/>
  </x:cols>
  <x:sheetData>
    <x:row r="1" ht="21">
      <x:c r="A1" s="14" t="s">
        <x:v>341</x:v>
      </x:c>
      <x:c r="B1" s="14"/>
    </x:row>
    <x:row r="2" ht="30">
      <x:c r="A2" s="4" t="s">
        <x:v>342</x:v>
      </x:c>
      <x:c r="B2" s="2" t="s">
        <x:v>343</x:v>
      </x:c>
    </x:row>
    <x:row r="3" ht="16">
      <x:c r="A3" s="4" t="s">
        <x:v>344</x:v>
      </x:c>
      <x:c r="B3" s="2" t="s">
        <x:v>345</x:v>
      </x:c>
    </x:row>
    <x:row r="4" ht="45">
      <x:c r="A4" s="4" t="s">
        <x:v>346</x:v>
      </x:c>
      <x:c r="B4" s="2" t="s">
        <x:v>347</x:v>
      </x:c>
    </x:row>
    <x:row r="5" ht="45">
      <x:c r="A5" s="4" t="s">
        <x:v>348</x:v>
      </x:c>
      <x:c r="B5" s="2" t="s">
        <x:v>349</x:v>
      </x:c>
    </x:row>
    <x:row r="6" ht="32">
      <x:c r="A6" s="4" t="s">
        <x:v>350</x:v>
      </x:c>
      <x:c r="B6" s="2" t="s">
        <x:v>351</x:v>
      </x:c>
    </x:row>
    <x:row r="7" ht="30">
      <x:c r="A7" s="4" t="s">
        <x:v>352</x:v>
      </x:c>
      <x:c r="B7" s="2" t="s">
        <x:v>353</x:v>
      </x:c>
    </x:row>
    <x:row r="8" ht="16">
      <x:c r="A8" s="4" t="s">
        <x:v>354</x:v>
      </x:c>
      <x:c r="B8" s="2" t="s">
        <x:v>355</x:v>
      </x:c>
    </x:row>
    <x:row r="9" ht="16">
      <x:c r="A9" s="4" t="s">
        <x:v>354</x:v>
      </x:c>
      <x:c r="B9" s="2" t="s">
        <x:v>356</x:v>
      </x:c>
    </x:row>
    <x:row r="10" ht="16">
      <x:c r="A10" s="4" t="s">
        <x:v>354</x:v>
      </x:c>
      <x:c r="B10" s="2" t="s">
        <x:v>222</x:v>
      </x:c>
    </x:row>
    <x:row r="11" ht="16">
      <x:c r="A11" s="4" t="s">
        <x:v>354</x:v>
      </x:c>
      <x:c r="B11" s="2" t="s">
        <x:v>357</x:v>
      </x:c>
    </x:row>
    <x:row r="12" ht="16">
      <x:c r="A12" s="4" t="s">
        <x:v>354</x:v>
      </x:c>
      <x:c r="B12" s="2" t="s">
        <x:v>358</x:v>
      </x:c>
    </x:row>
    <x:row r="13" ht="16">
      <x:c r="A13" s="4" t="s">
        <x:v>354</x:v>
      </x:c>
      <x:c r="B13" s="2" t="s">
        <x:v>359</x:v>
      </x:c>
    </x:row>
    <x:row r="14" ht="16">
      <x:c r="A14" s="4" t="s">
        <x:v>354</x:v>
      </x:c>
      <x:c r="B14" s="2" t="s">
        <x:v>143</x:v>
      </x:c>
    </x:row>
    <x:row r="15" ht="16">
      <x:c r="A15" s="4" t="s">
        <x:v>354</x:v>
      </x:c>
      <x:c r="B15" s="2" t="s">
        <x:v>360</x:v>
      </x:c>
    </x:row>
    <x:row r="16" ht="16">
      <x:c r="A16" s="4" t="s">
        <x:v>354</x:v>
      </x:c>
      <x:c r="B16" s="2" t="s">
        <x:v>332</x:v>
      </x:c>
    </x:row>
    <x:row r="17" ht="16">
      <x:c r="A17" s="4" t="s">
        <x:v>354</x:v>
      </x:c>
      <x:c r="B17" s="2" t="s">
        <x:v>124</x:v>
      </x:c>
    </x:row>
    <x:row r="18" ht="16">
      <x:c r="A18" s="4" t="s">
        <x:v>354</x:v>
      </x:c>
      <x:c r="B18" s="2" t="s">
        <x:v>151</x:v>
      </x:c>
    </x:row>
    <x:row r="19" ht="45">
      <x:c r="A19" s="4" t="s">
        <x:v>361</x:v>
      </x:c>
      <x:c r="B19" s="2" t="s">
        <x:v>362</x:v>
      </x:c>
    </x:row>
    <x:row r="21" ht="42.75" customHeight="1">
      <x:c r="A21" s="6" t="s">
        <x:v>363</x:v>
      </x:c>
      <x:c r="B21" s="6" t="s">
        <x:v>364</x:v>
      </x:c>
    </x:row>
    <x:row r="22" ht="15">
      <x:c r="A22" s="7" t="s">
        <x:v>365</x:v>
      </x:c>
      <x:c r="B22" s="5" t="s">
        <x:v>366</x:v>
      </x:c>
    </x:row>
    <x:row r="23" ht="15">
      <x:c r="A23" s="7" t="s">
        <x:v>367</x:v>
      </x:c>
      <x:c r="B23" s="5" t="s">
        <x:v>368</x:v>
      </x:c>
    </x:row>
    <x:row r="24" ht="30">
      <x:c r="A24" s="7" t="s">
        <x:v>369</x:v>
      </x:c>
      <x:c r="B24" s="5" t="s">
        <x:v>370</x:v>
      </x:c>
    </x:row>
    <x:row r="25" ht="15">
      <x:c r="A25" s="7" t="s">
        <x:v>371</x:v>
      </x:c>
      <x:c r="B25" s="5" t="s">
        <x:v>372</x:v>
      </x:c>
    </x:row>
  </x:sheetData>
  <x:mergeCells>
    <x:mergeCell ref="A1:B1"/>
  </x:mergeCells>
  <x:pageMargins left="0.7" right="0.7" top="0.75" bottom="0.75" header="0.3" footer="0.3"/>
</x:worksheet>
</file>